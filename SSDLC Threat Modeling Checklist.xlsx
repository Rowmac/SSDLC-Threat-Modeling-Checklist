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hreat Modeling Checklist" sheetId="2" state="visible" r:id="rId2"/>
    <sheet xmlns:r="http://schemas.openxmlformats.org/officeDocument/2006/relationships" name="Threat Register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1" hidden="1">'Threat Modeling Checklist'!$A$10:$I$85</definedName>
    <definedName name="_xlnm.Print_Titles" localSheetId="1">'Threat Modeling Checklist'!$1:$10</definedName>
    <definedName name="_xlnm.Print_Titles" localSheetId="2">'Threat Register'!$1:$4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17365D"/>
    </font>
    <font>
      <b val="1"/>
      <color rgb="00FFFFFF"/>
    </font>
    <font>
      <color rgb="00666666"/>
      <sz val="9"/>
    </font>
    <font>
      <b val="1"/>
      <color rgb="0017365D"/>
      <sz val="9"/>
    </font>
    <font>
      <color rgb="001F4E78"/>
      <sz val="16"/>
    </font>
    <font>
      <b val="1"/>
      <color rgb="0017365D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EF5FB"/>
      </patternFill>
    </fill>
    <fill>
      <patternFill patternType="solid">
        <fgColor rgb="00FAFCFE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medium">
        <color rgb="0017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4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center"/>
    </xf>
    <xf numFmtId="0" fontId="8" fillId="0" borderId="0" pivotButton="0" quotePrefix="0" xfId="0"/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hreatModelChecklist" displayName="ThreatModelChecklist" ref="A10:I85" headerRowCount="1">
  <autoFilter ref="A10:I85"/>
  <tableColumns count="9">
    <tableColumn id="1" name="ID"/>
    <tableColumn id="2" name="SSDLC Phase / Area"/>
    <tableColumn id="3" name="Checklist Requirement"/>
    <tableColumn id="4" name="Pass Mark"/>
    <tableColumn id="5" name="Status"/>
    <tableColumn id="6" name="Risk Priority"/>
    <tableColumn id="7" name="Evidence / Reference"/>
    <tableColumn id="8" name="Owner"/>
    <tableColumn id="9" name="Due Date / Follow-u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hreatRegister" displayName="ThreatRegister" ref="A4:O34" headerRowCount="1">
  <autoFilter ref="A4:O34"/>
  <tableColumns count="15">
    <tableColumn id="1" name="Threat ID"/>
    <tableColumn id="2" name="Component / Data Flow"/>
    <tableColumn id="3" name="Asset / Data"/>
    <tableColumn id="4" name="Threat Scenario"/>
    <tableColumn id="5" name="Threat Category"/>
    <tableColumn id="6" name="Attack Vector / Preconditions"/>
    <tableColumn id="7" name="Existing Controls"/>
    <tableColumn id="8" name="Likelihood (1-5)"/>
    <tableColumn id="9" name="Impact (1-5)"/>
    <tableColumn id="10" name="Inherent Score"/>
    <tableColumn id="11" name="Inherent Rating"/>
    <tableColumn id="12" name="Treatment / Mitigation"/>
    <tableColumn id="13" name="Owner"/>
    <tableColumn id="14" name="Due Date"/>
    <tableColumn id="15" name="Residual Risk / Accept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SSDLC Threat Modeling — Summary</t>
        </is>
      </c>
    </row>
    <row r="3">
      <c r="A3" s="2" t="inlineStr">
        <is>
          <t>Checklist Metric</t>
        </is>
      </c>
      <c r="B3" s="2" t="inlineStr">
        <is>
          <t>Count</t>
        </is>
      </c>
    </row>
    <row r="4">
      <c r="A4" s="3" t="inlineStr">
        <is>
          <t>Total checklist items</t>
        </is>
      </c>
      <c r="B4" s="4">
        <f>COUNTA('Threat Modeling Checklist'!A11:A85)</f>
        <v/>
      </c>
    </row>
    <row r="5">
      <c r="A5" s="3" t="inlineStr">
        <is>
          <t>Pass</t>
        </is>
      </c>
      <c r="B5" s="4">
        <f>COUNTIF('Threat Modeling Checklist'!E11:E85,"Pass")</f>
        <v/>
      </c>
    </row>
    <row r="6">
      <c r="A6" s="3" t="inlineStr">
        <is>
          <t>Fail</t>
        </is>
      </c>
      <c r="B6" s="4">
        <f>COUNTIF('Threat Modeling Checklist'!E11:E85,"Fail")</f>
        <v/>
      </c>
    </row>
    <row r="7">
      <c r="A7" s="3" t="inlineStr">
        <is>
          <t>In Progress</t>
        </is>
      </c>
      <c r="B7" s="4">
        <f>COUNTIF('Threat Modeling Checklist'!E11:E85,"In Progress")</f>
        <v/>
      </c>
    </row>
    <row r="8">
      <c r="A8" s="3" t="inlineStr">
        <is>
          <t>Not Reviewed</t>
        </is>
      </c>
      <c r="B8" s="4">
        <f>COUNTIF('Threat Modeling Checklist'!E11:E85,"Not Reviewed")</f>
        <v/>
      </c>
    </row>
    <row r="9">
      <c r="A9" s="3" t="inlineStr">
        <is>
          <t>Not Applicable</t>
        </is>
      </c>
      <c r="B9" s="4">
        <f>COUNTIF('Threat Modeling Checklist'!E11:E85,"Not Applicable")</f>
        <v/>
      </c>
    </row>
    <row r="10">
      <c r="A10" s="3" t="inlineStr">
        <is>
          <t>Pass Mark checked (☑)</t>
        </is>
      </c>
      <c r="B10" s="4">
        <f>COUNTIF('Threat Modeling Checklist'!D11:D85,"☑")</f>
        <v/>
      </c>
    </row>
    <row r="11">
      <c r="A11" s="3" t="inlineStr">
        <is>
          <t>Threats entered in register</t>
        </is>
      </c>
      <c r="B11" s="4">
        <f>COUNTIF('Threat Register'!D5:D34,"&lt;&gt;")</f>
        <v/>
      </c>
    </row>
    <row r="12">
      <c r="A12" s="3" t="inlineStr">
        <is>
          <t>Critical threats (inherent)</t>
        </is>
      </c>
      <c r="B12" s="4">
        <f>COUNTIF('Threat Register'!K5:K34,"Critical")</f>
        <v/>
      </c>
    </row>
    <row r="13">
      <c r="A13" s="3" t="inlineStr">
        <is>
          <t>High threats (inherent)</t>
        </is>
      </c>
      <c r="B13" s="4">
        <f>COUNTIF('Threat Register'!K5:K34,"High")</f>
        <v/>
      </c>
    </row>
    <row r="16">
      <c r="A16" s="5" t="inlineStr">
        <is>
          <t>Checklist completion by SSDLC area</t>
        </is>
      </c>
    </row>
    <row r="17">
      <c r="A17" s="2" t="inlineStr">
        <is>
          <t>Area</t>
        </is>
      </c>
      <c r="B17" s="2" t="inlineStr">
        <is>
          <t>Total</t>
        </is>
      </c>
      <c r="C17" s="2" t="inlineStr">
        <is>
          <t>Pass</t>
        </is>
      </c>
      <c r="D17" s="2" t="inlineStr">
        <is>
          <t>Fail</t>
        </is>
      </c>
    </row>
    <row r="18">
      <c r="A18" s="6" t="inlineStr">
        <is>
          <t>1. Initiation &amp; Scope</t>
        </is>
      </c>
      <c r="B18" s="6">
        <f>COUNTIF('Threat Modeling Checklist'!B11:B85,A18)</f>
        <v/>
      </c>
      <c r="C18" s="6">
        <f>COUNTIFS('Threat Modeling Checklist'!B11:B85,A18,'Threat Modeling Checklist'!E11:E85,"Pass")</f>
        <v/>
      </c>
      <c r="D18" s="6">
        <f>COUNTIFS('Threat Modeling Checklist'!B11:B85,A18,'Threat Modeling Checklist'!E11:E85,"Fail")</f>
        <v/>
      </c>
    </row>
    <row r="19">
      <c r="A19" s="6" t="inlineStr">
        <is>
          <t>2. Architecture &amp; System Decomposition</t>
        </is>
      </c>
      <c r="B19" s="6">
        <f>COUNTIF('Threat Modeling Checklist'!B11:B85,A19)</f>
        <v/>
      </c>
      <c r="C19" s="6">
        <f>COUNTIFS('Threat Modeling Checklist'!B11:B85,A19,'Threat Modeling Checklist'!E11:E85,"Pass")</f>
        <v/>
      </c>
      <c r="D19" s="6">
        <f>COUNTIFS('Threat Modeling Checklist'!B11:B85,A19,'Threat Modeling Checklist'!E11:E85,"Fail")</f>
        <v/>
      </c>
    </row>
    <row r="20">
      <c r="A20" s="6" t="inlineStr">
        <is>
          <t>3. Assets, Data &amp; Security Objectives</t>
        </is>
      </c>
      <c r="B20" s="6">
        <f>COUNTIF('Threat Modeling Checklist'!B11:B85,A20)</f>
        <v/>
      </c>
      <c r="C20" s="6">
        <f>COUNTIFS('Threat Modeling Checklist'!B11:B85,A20,'Threat Modeling Checklist'!E11:E85,"Pass")</f>
        <v/>
      </c>
      <c r="D20" s="6">
        <f>COUNTIFS('Threat Modeling Checklist'!B11:B85,A20,'Threat Modeling Checklist'!E11:E85,"Fail")</f>
        <v/>
      </c>
    </row>
    <row r="21">
      <c r="A21" s="6" t="inlineStr">
        <is>
          <t>4. Threat Identification</t>
        </is>
      </c>
      <c r="B21" s="6">
        <f>COUNTIF('Threat Modeling Checklist'!B11:B85,A21)</f>
        <v/>
      </c>
      <c r="C21" s="6">
        <f>COUNTIFS('Threat Modeling Checklist'!B11:B85,A21,'Threat Modeling Checklist'!E11:E85,"Pass")</f>
        <v/>
      </c>
      <c r="D21" s="6">
        <f>COUNTIFS('Threat Modeling Checklist'!B11:B85,A21,'Threat Modeling Checklist'!E11:E85,"Fail")</f>
        <v/>
      </c>
    </row>
    <row r="22">
      <c r="A22" s="6" t="inlineStr">
        <is>
          <t>5. Risk Analysis &amp; Prioritization</t>
        </is>
      </c>
      <c r="B22" s="6">
        <f>COUNTIF('Threat Modeling Checklist'!B11:B85,A22)</f>
        <v/>
      </c>
      <c r="C22" s="6">
        <f>COUNTIFS('Threat Modeling Checklist'!B11:B85,A22,'Threat Modeling Checklist'!E11:E85,"Pass")</f>
        <v/>
      </c>
      <c r="D22" s="6">
        <f>COUNTIFS('Threat Modeling Checklist'!B11:B85,A22,'Threat Modeling Checklist'!E11:E85,"Fail")</f>
        <v/>
      </c>
    </row>
    <row r="23">
      <c r="A23" s="6" t="inlineStr">
        <is>
          <t>6. Mitigation &amp; Security Requirements</t>
        </is>
      </c>
      <c r="B23" s="6">
        <f>COUNTIF('Threat Modeling Checklist'!B11:B85,A23)</f>
        <v/>
      </c>
      <c r="C23" s="6">
        <f>COUNTIFS('Threat Modeling Checklist'!B11:B85,A23,'Threat Modeling Checklist'!E11:E85,"Pass")</f>
        <v/>
      </c>
      <c r="D23" s="6">
        <f>COUNTIFS('Threat Modeling Checklist'!B11:B85,A23,'Threat Modeling Checklist'!E11:E85,"Fail")</f>
        <v/>
      </c>
    </row>
    <row r="24">
      <c r="A24" s="6" t="inlineStr">
        <is>
          <t>7. Verification &amp; Validation</t>
        </is>
      </c>
      <c r="B24" s="6">
        <f>COUNTIF('Threat Modeling Checklist'!B11:B85,A24)</f>
        <v/>
      </c>
      <c r="C24" s="6">
        <f>COUNTIFS('Threat Modeling Checklist'!B11:B85,A24,'Threat Modeling Checklist'!E11:E85,"Pass")</f>
        <v/>
      </c>
      <c r="D24" s="6">
        <f>COUNTIFS('Threat Modeling Checklist'!B11:B85,A24,'Threat Modeling Checklist'!E11:E85,"Fail")</f>
        <v/>
      </c>
    </row>
    <row r="25">
      <c r="A25" s="6" t="inlineStr">
        <is>
          <t>8. Governance, Release &amp; Maintenance</t>
        </is>
      </c>
      <c r="B25" s="6">
        <f>COUNTIF('Threat Modeling Checklist'!B11:B85,A25)</f>
        <v/>
      </c>
      <c r="C25" s="6">
        <f>COUNTIFS('Threat Modeling Checklist'!B11:B85,A25,'Threat Modeling Checklist'!E11:E85,"Pass")</f>
        <v/>
      </c>
      <c r="D25" s="6">
        <f>COUNTIFS('Threat Modeling Checklist'!B11:B85,A25,'Threat Modeling Checklist'!E11:E85,"Fail")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85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90" customWidth="1" min="3" max="3"/>
    <col width="12" customWidth="1" min="4" max="4"/>
    <col width="19" customWidth="1" min="5" max="5"/>
    <col width="16" customWidth="1" min="6" max="6"/>
    <col width="38" customWidth="1" min="7" max="7"/>
    <col width="26" customWidth="1" min="8" max="8"/>
    <col width="28" customWidth="1" min="9" max="9"/>
  </cols>
  <sheetData>
    <row r="1" ht="30" customHeight="1">
      <c r="A1" s="1" t="inlineStr">
        <is>
          <t>SSDLC Threat Modeling Checklist</t>
        </is>
      </c>
    </row>
    <row r="2" ht="32" customHeight="1">
      <c r="A2" s="7" t="inlineStr">
        <is>
          <t>Use at design time and revisit for material changes. Select ☑ only after verification; record status and supporting evidence. Tailor controls to application context and risk.</t>
        </is>
      </c>
    </row>
    <row r="4" ht="22" customHeight="1">
      <c r="A4" s="8" t="inlineStr">
        <is>
          <t>Application / Product</t>
        </is>
      </c>
      <c r="B4" s="6" t="inlineStr"/>
      <c r="C4" s="6" t="n"/>
      <c r="D4" s="6" t="n"/>
      <c r="E4" s="6" t="n"/>
      <c r="F4" s="6" t="n"/>
      <c r="G4" s="6" t="n"/>
      <c r="H4" s="6" t="n"/>
      <c r="I4" s="6" t="n"/>
    </row>
    <row r="5" ht="22" customHeight="1">
      <c r="A5" s="8" t="inlineStr">
        <is>
          <t>Release / Version</t>
        </is>
      </c>
      <c r="B5" s="6" t="inlineStr"/>
      <c r="C5" s="6" t="n"/>
      <c r="D5" s="6" t="n"/>
      <c r="E5" s="6" t="n"/>
      <c r="F5" s="6" t="n"/>
      <c r="G5" s="6" t="n"/>
      <c r="H5" s="6" t="n"/>
      <c r="I5" s="6" t="n"/>
    </row>
    <row r="6" ht="22" customHeight="1">
      <c r="A6" s="8" t="inlineStr">
        <is>
          <t>Threat Modeling Facilitator</t>
        </is>
      </c>
      <c r="B6" s="6" t="inlineStr"/>
      <c r="C6" s="6" t="n"/>
      <c r="D6" s="6" t="n"/>
      <c r="E6" s="6" t="n"/>
      <c r="F6" s="6" t="n"/>
      <c r="G6" s="6" t="n"/>
      <c r="H6" s="6" t="n"/>
      <c r="I6" s="6" t="n"/>
    </row>
    <row r="7" ht="22" customHeight="1">
      <c r="A7" s="8" t="inlineStr">
        <is>
          <t>Review Date</t>
        </is>
      </c>
      <c r="B7" s="6" t="inlineStr"/>
      <c r="C7" s="6" t="n"/>
      <c r="D7" s="6" t="n"/>
      <c r="E7" s="6" t="n"/>
      <c r="F7" s="6" t="n"/>
      <c r="G7" s="6" t="n"/>
      <c r="H7" s="6" t="n"/>
      <c r="I7" s="6" t="n"/>
    </row>
    <row r="8" ht="22" customHeight="1">
      <c r="A8" s="8" t="inlineStr">
        <is>
          <t>Architecture / Diagram Link</t>
        </is>
      </c>
      <c r="B8" s="6" t="inlineStr"/>
      <c r="C8" s="6" t="n"/>
      <c r="D8" s="6" t="n"/>
      <c r="E8" s="6" t="n"/>
      <c r="F8" s="6" t="n"/>
      <c r="G8" s="6" t="n"/>
      <c r="H8" s="6" t="n"/>
      <c r="I8" s="6" t="n"/>
    </row>
    <row r="10" ht="34" customHeight="1">
      <c r="A10" s="9" t="inlineStr">
        <is>
          <t>ID</t>
        </is>
      </c>
      <c r="B10" s="9" t="inlineStr">
        <is>
          <t>SSDLC Phase / Area</t>
        </is>
      </c>
      <c r="C10" s="9" t="inlineStr">
        <is>
          <t>Checklist Requirement</t>
        </is>
      </c>
      <c r="D10" s="9" t="inlineStr">
        <is>
          <t>Pass Mark</t>
        </is>
      </c>
      <c r="E10" s="9" t="inlineStr">
        <is>
          <t>Status</t>
        </is>
      </c>
      <c r="F10" s="9" t="inlineStr">
        <is>
          <t>Risk Priority</t>
        </is>
      </c>
      <c r="G10" s="9" t="inlineStr">
        <is>
          <t>Evidence / Reference</t>
        </is>
      </c>
      <c r="H10" s="9" t="inlineStr">
        <is>
          <t>Owner</t>
        </is>
      </c>
      <c r="I10" s="9" t="inlineStr">
        <is>
          <t>Due Date / Follow-up</t>
        </is>
      </c>
    </row>
    <row r="11" ht="42" customHeight="1">
      <c r="A11" s="10" t="inlineStr">
        <is>
          <t>TM-001</t>
        </is>
      </c>
      <c r="B11" s="11" t="inlineStr">
        <is>
          <t>1. Initiation &amp; Scope</t>
        </is>
      </c>
      <c r="C11" s="12" t="inlineStr">
        <is>
          <t>Threat modeling is planned as an explicit SSDLC activity for the application or change.</t>
        </is>
      </c>
      <c r="D11" s="13" t="inlineStr">
        <is>
          <t>☐</t>
        </is>
      </c>
      <c r="E11" s="14" t="inlineStr">
        <is>
          <t>Not Reviewed</t>
        </is>
      </c>
      <c r="F11" s="14" t="inlineStr">
        <is>
          <t>Not Assessed</t>
        </is>
      </c>
      <c r="G11" s="12" t="inlineStr"/>
      <c r="H11" s="12" t="inlineStr">
        <is>
          <t>Security Lead / Product Owner</t>
        </is>
      </c>
      <c r="I11" s="12" t="inlineStr"/>
    </row>
    <row r="12" ht="42" customHeight="1">
      <c r="A12" s="15" t="inlineStr">
        <is>
          <t>TM-002</t>
        </is>
      </c>
      <c r="B12" s="11" t="inlineStr">
        <is>
          <t>1. Initiation &amp; Scope</t>
        </is>
      </c>
      <c r="C12" s="16" t="inlineStr">
        <is>
          <t>Application name, business purpose, version/release, owner, and review date are recorded.</t>
        </is>
      </c>
      <c r="D12" s="13" t="inlineStr">
        <is>
          <t>☐</t>
        </is>
      </c>
      <c r="E12" s="17" t="inlineStr">
        <is>
          <t>Not Reviewed</t>
        </is>
      </c>
      <c r="F12" s="17" t="inlineStr">
        <is>
          <t>Not Assessed</t>
        </is>
      </c>
      <c r="G12" s="16" t="inlineStr"/>
      <c r="H12" s="16" t="inlineStr">
        <is>
          <t>Product Owner</t>
        </is>
      </c>
      <c r="I12" s="16" t="inlineStr"/>
    </row>
    <row r="13" ht="42" customHeight="1">
      <c r="A13" s="10" t="inlineStr">
        <is>
          <t>TM-003</t>
        </is>
      </c>
      <c r="B13" s="11" t="inlineStr">
        <is>
          <t>1. Initiation &amp; Scope</t>
        </is>
      </c>
      <c r="C13" s="12" t="inlineStr">
        <is>
          <t>Threat-modeling scope and exclusions are documented and approved.</t>
        </is>
      </c>
      <c r="D13" s="13" t="inlineStr">
        <is>
          <t>☐</t>
        </is>
      </c>
      <c r="E13" s="14" t="inlineStr">
        <is>
          <t>Not Reviewed</t>
        </is>
      </c>
      <c r="F13" s="14" t="inlineStr">
        <is>
          <t>Not Assessed</t>
        </is>
      </c>
      <c r="G13" s="12" t="inlineStr"/>
      <c r="H13" s="12" t="inlineStr">
        <is>
          <t>Architect / Product Owner</t>
        </is>
      </c>
      <c r="I13" s="12" t="inlineStr"/>
    </row>
    <row r="14" ht="42" customHeight="1">
      <c r="A14" s="15" t="inlineStr">
        <is>
          <t>TM-004</t>
        </is>
      </c>
      <c r="B14" s="11" t="inlineStr">
        <is>
          <t>1. Initiation &amp; Scope</t>
        </is>
      </c>
      <c r="C14" s="16" t="inlineStr">
        <is>
          <t>Security classification and sensitivity of the application and its data are identified.</t>
        </is>
      </c>
      <c r="D14" s="13" t="inlineStr">
        <is>
          <t>☐</t>
        </is>
      </c>
      <c r="E14" s="17" t="inlineStr">
        <is>
          <t>Not Reviewed</t>
        </is>
      </c>
      <c r="F14" s="17" t="inlineStr">
        <is>
          <t>Not Assessed</t>
        </is>
      </c>
      <c r="G14" s="16" t="inlineStr"/>
      <c r="H14" s="16" t="inlineStr">
        <is>
          <t>Data Owner</t>
        </is>
      </c>
      <c r="I14" s="16" t="inlineStr"/>
    </row>
    <row r="15" ht="42" customHeight="1">
      <c r="A15" s="10" t="inlineStr">
        <is>
          <t>TM-005</t>
        </is>
      </c>
      <c r="B15" s="11" t="inlineStr">
        <is>
          <t>1. Initiation &amp; Scope</t>
        </is>
      </c>
      <c r="C15" s="12" t="inlineStr">
        <is>
          <t>Applicable regulatory, contractual, privacy, and internal security requirements are identified.</t>
        </is>
      </c>
      <c r="D15" s="13" t="inlineStr">
        <is>
          <t>☐</t>
        </is>
      </c>
      <c r="E15" s="14" t="inlineStr">
        <is>
          <t>Not Reviewed</t>
        </is>
      </c>
      <c r="F15" s="14" t="inlineStr">
        <is>
          <t>Not Assessed</t>
        </is>
      </c>
      <c r="G15" s="12" t="inlineStr"/>
      <c r="H15" s="12" t="inlineStr">
        <is>
          <t>GRC / Security</t>
        </is>
      </c>
      <c r="I15" s="12" t="inlineStr"/>
    </row>
    <row r="16" ht="42" customHeight="1">
      <c r="A16" s="15" t="inlineStr">
        <is>
          <t>TM-006</t>
        </is>
      </c>
      <c r="B16" s="11" t="inlineStr">
        <is>
          <t>1. Initiation &amp; Scope</t>
        </is>
      </c>
      <c r="C16" s="16" t="inlineStr">
        <is>
          <t>Relevant stakeholders are identified, including development, architecture, operations, security, privacy, and business owners.</t>
        </is>
      </c>
      <c r="D16" s="13" t="inlineStr">
        <is>
          <t>☐</t>
        </is>
      </c>
      <c r="E16" s="17" t="inlineStr">
        <is>
          <t>Not Reviewed</t>
        </is>
      </c>
      <c r="F16" s="17" t="inlineStr">
        <is>
          <t>Not Assessed</t>
        </is>
      </c>
      <c r="G16" s="16" t="inlineStr"/>
      <c r="H16" s="16" t="inlineStr">
        <is>
          <t>Project Manager</t>
        </is>
      </c>
      <c r="I16" s="16" t="inlineStr"/>
    </row>
    <row r="17" ht="42" customHeight="1">
      <c r="A17" s="10" t="inlineStr">
        <is>
          <t>TM-007</t>
        </is>
      </c>
      <c r="B17" s="11" t="inlineStr">
        <is>
          <t>1. Initiation &amp; Scope</t>
        </is>
      </c>
      <c r="C17" s="12" t="inlineStr">
        <is>
          <t>Threat modeling is scheduled at design time and repeated for material changes.</t>
        </is>
      </c>
      <c r="D17" s="13" t="inlineStr">
        <is>
          <t>☐</t>
        </is>
      </c>
      <c r="E17" s="14" t="inlineStr">
        <is>
          <t>Not Reviewed</t>
        </is>
      </c>
      <c r="F17" s="14" t="inlineStr">
        <is>
          <t>Not Assessed</t>
        </is>
      </c>
      <c r="G17" s="12" t="inlineStr"/>
      <c r="H17" s="12" t="inlineStr">
        <is>
          <t>Engineering Lead</t>
        </is>
      </c>
      <c r="I17" s="12" t="inlineStr"/>
    </row>
    <row r="18" ht="42" customHeight="1">
      <c r="A18" s="15" t="inlineStr">
        <is>
          <t>TM-008</t>
        </is>
      </c>
      <c r="B18" s="11" t="inlineStr">
        <is>
          <t>2. Architecture &amp; System Decomposition</t>
        </is>
      </c>
      <c r="C18" s="16" t="inlineStr">
        <is>
          <t>A current architecture or system-context diagram is available and reviewed.</t>
        </is>
      </c>
      <c r="D18" s="13" t="inlineStr">
        <is>
          <t>☐</t>
        </is>
      </c>
      <c r="E18" s="17" t="inlineStr">
        <is>
          <t>Not Reviewed</t>
        </is>
      </c>
      <c r="F18" s="17" t="inlineStr">
        <is>
          <t>Not Assessed</t>
        </is>
      </c>
      <c r="G18" s="16" t="inlineStr"/>
      <c r="H18" s="16" t="inlineStr">
        <is>
          <t>Solution Architect</t>
        </is>
      </c>
      <c r="I18" s="16" t="inlineStr"/>
    </row>
    <row r="19" ht="42" customHeight="1">
      <c r="A19" s="10" t="inlineStr">
        <is>
          <t>TM-009</t>
        </is>
      </c>
      <c r="B19" s="11" t="inlineStr">
        <is>
          <t>2. Architecture &amp; System Decomposition</t>
        </is>
      </c>
      <c r="C19" s="12" t="inlineStr">
        <is>
          <t>Major components, services, processes, jobs, APIs, and dependencies are represented.</t>
        </is>
      </c>
      <c r="D19" s="13" t="inlineStr">
        <is>
          <t>☐</t>
        </is>
      </c>
      <c r="E19" s="14" t="inlineStr">
        <is>
          <t>Not Reviewed</t>
        </is>
      </c>
      <c r="F19" s="14" t="inlineStr">
        <is>
          <t>Not Assessed</t>
        </is>
      </c>
      <c r="G19" s="12" t="inlineStr"/>
      <c r="H19" s="12" t="inlineStr">
        <is>
          <t>Solution Architect</t>
        </is>
      </c>
      <c r="I19" s="12" t="inlineStr"/>
    </row>
    <row r="20" ht="42" customHeight="1">
      <c r="A20" s="15" t="inlineStr">
        <is>
          <t>TM-010</t>
        </is>
      </c>
      <c r="B20" s="11" t="inlineStr">
        <is>
          <t>2. Architecture &amp; System Decomposition</t>
        </is>
      </c>
      <c r="C20" s="16" t="inlineStr">
        <is>
          <t>External entities and third-party services are identified.</t>
        </is>
      </c>
      <c r="D20" s="13" t="inlineStr">
        <is>
          <t>☐</t>
        </is>
      </c>
      <c r="E20" s="17" t="inlineStr">
        <is>
          <t>Not Reviewed</t>
        </is>
      </c>
      <c r="F20" s="17" t="inlineStr">
        <is>
          <t>Not Assessed</t>
        </is>
      </c>
      <c r="G20" s="16" t="inlineStr"/>
      <c r="H20" s="16" t="inlineStr">
        <is>
          <t>Solution Architect</t>
        </is>
      </c>
      <c r="I20" s="16" t="inlineStr"/>
    </row>
    <row r="21" ht="42" customHeight="1">
      <c r="A21" s="10" t="inlineStr">
        <is>
          <t>TM-011</t>
        </is>
      </c>
      <c r="B21" s="11" t="inlineStr">
        <is>
          <t>2. Architecture &amp; System Decomposition</t>
        </is>
      </c>
      <c r="C21" s="12" t="inlineStr">
        <is>
          <t>Data flows between components are documented, including protocols and direction.</t>
        </is>
      </c>
      <c r="D21" s="13" t="inlineStr">
        <is>
          <t>☐</t>
        </is>
      </c>
      <c r="E21" s="14" t="inlineStr">
        <is>
          <t>Not Reviewed</t>
        </is>
      </c>
      <c r="F21" s="14" t="inlineStr">
        <is>
          <t>Not Assessed</t>
        </is>
      </c>
      <c r="G21" s="12" t="inlineStr"/>
      <c r="H21" s="12" t="inlineStr">
        <is>
          <t>Developer / Architect</t>
        </is>
      </c>
      <c r="I21" s="12" t="inlineStr"/>
    </row>
    <row r="22" ht="42" customHeight="1">
      <c r="A22" s="15" t="inlineStr">
        <is>
          <t>TM-012</t>
        </is>
      </c>
      <c r="B22" s="11" t="inlineStr">
        <is>
          <t>2. Architecture &amp; System Decomposition</t>
        </is>
      </c>
      <c r="C22" s="16" t="inlineStr">
        <is>
          <t>Trust boundaries are marked where identity, privilege, network zone, ownership, or control changes.</t>
        </is>
      </c>
      <c r="D22" s="13" t="inlineStr">
        <is>
          <t>☐</t>
        </is>
      </c>
      <c r="E22" s="17" t="inlineStr">
        <is>
          <t>Not Reviewed</t>
        </is>
      </c>
      <c r="F22" s="17" t="inlineStr">
        <is>
          <t>Not Assessed</t>
        </is>
      </c>
      <c r="G22" s="16" t="inlineStr"/>
      <c r="H22" s="16" t="inlineStr">
        <is>
          <t>Security Architect</t>
        </is>
      </c>
      <c r="I22" s="16" t="inlineStr"/>
    </row>
    <row r="23" ht="42" customHeight="1">
      <c r="A23" s="10" t="inlineStr">
        <is>
          <t>TM-013</t>
        </is>
      </c>
      <c r="B23" s="11" t="inlineStr">
        <is>
          <t>2. Architecture &amp; System Decomposition</t>
        </is>
      </c>
      <c r="C23" s="12" t="inlineStr">
        <is>
          <t>Deployment environments, network zones, ingress/egress paths, and administrative paths are represented.</t>
        </is>
      </c>
      <c r="D23" s="13" t="inlineStr">
        <is>
          <t>☐</t>
        </is>
      </c>
      <c r="E23" s="14" t="inlineStr">
        <is>
          <t>Not Reviewed</t>
        </is>
      </c>
      <c r="F23" s="14" t="inlineStr">
        <is>
          <t>Not Assessed</t>
        </is>
      </c>
      <c r="G23" s="12" t="inlineStr"/>
      <c r="H23" s="12" t="inlineStr">
        <is>
          <t>Cloud / Platform Engineer</t>
        </is>
      </c>
      <c r="I23" s="12" t="inlineStr"/>
    </row>
    <row r="24" ht="42" customHeight="1">
      <c r="A24" s="15" t="inlineStr">
        <is>
          <t>TM-014</t>
        </is>
      </c>
      <c r="B24" s="11" t="inlineStr">
        <is>
          <t>2. Architecture &amp; System Decomposition</t>
        </is>
      </c>
      <c r="C24" s="16" t="inlineStr">
        <is>
          <t>Authentication, authorization, and identity federation flows are mapped.</t>
        </is>
      </c>
      <c r="D24" s="13" t="inlineStr">
        <is>
          <t>☐</t>
        </is>
      </c>
      <c r="E24" s="17" t="inlineStr">
        <is>
          <t>Not Reviewed</t>
        </is>
      </c>
      <c r="F24" s="17" t="inlineStr">
        <is>
          <t>Not Assessed</t>
        </is>
      </c>
      <c r="G24" s="16" t="inlineStr"/>
      <c r="H24" s="16" t="inlineStr">
        <is>
          <t>IAM / Architect</t>
        </is>
      </c>
      <c r="I24" s="16" t="inlineStr"/>
    </row>
    <row r="25" ht="42" customHeight="1">
      <c r="A25" s="10" t="inlineStr">
        <is>
          <t>TM-015</t>
        </is>
      </c>
      <c r="B25" s="11" t="inlineStr">
        <is>
          <t>2. Architecture &amp; System Decomposition</t>
        </is>
      </c>
      <c r="C25" s="12" t="inlineStr">
        <is>
          <t>Data stores, caches, queues, logs, backups, and temporary storage are included.</t>
        </is>
      </c>
      <c r="D25" s="13" t="inlineStr">
        <is>
          <t>☐</t>
        </is>
      </c>
      <c r="E25" s="14" t="inlineStr">
        <is>
          <t>Not Reviewed</t>
        </is>
      </c>
      <c r="F25" s="14" t="inlineStr">
        <is>
          <t>Not Assessed</t>
        </is>
      </c>
      <c r="G25" s="12" t="inlineStr"/>
      <c r="H25" s="12" t="inlineStr">
        <is>
          <t>Developer / Architect</t>
        </is>
      </c>
      <c r="I25" s="12" t="inlineStr"/>
    </row>
    <row r="26" ht="42" customHeight="1">
      <c r="A26" s="15" t="inlineStr">
        <is>
          <t>TM-016</t>
        </is>
      </c>
      <c r="B26" s="11" t="inlineStr">
        <is>
          <t>2. Architecture &amp; System Decomposition</t>
        </is>
      </c>
      <c r="C26" s="16" t="inlineStr">
        <is>
          <t>Secrets, cryptographic keys, certificates, and sensitive configuration locations are identified.</t>
        </is>
      </c>
      <c r="D26" s="13" t="inlineStr">
        <is>
          <t>☐</t>
        </is>
      </c>
      <c r="E26" s="17" t="inlineStr">
        <is>
          <t>Not Reviewed</t>
        </is>
      </c>
      <c r="F26" s="17" t="inlineStr">
        <is>
          <t>Not Assessed</t>
        </is>
      </c>
      <c r="G26" s="16" t="inlineStr"/>
      <c r="H26" s="16" t="inlineStr">
        <is>
          <t>Security Engineer</t>
        </is>
      </c>
      <c r="I26" s="16" t="inlineStr"/>
    </row>
    <row r="27" ht="42" customHeight="1">
      <c r="A27" s="10" t="inlineStr">
        <is>
          <t>TM-017</t>
        </is>
      </c>
      <c r="B27" s="11" t="inlineStr">
        <is>
          <t>2. Architecture &amp; System Decomposition</t>
        </is>
      </c>
      <c r="C27" s="12" t="inlineStr">
        <is>
          <t>Technology stack, frameworks, libraries, APIs, containers, cloud services, and infrastructure dependencies are inventoried.</t>
        </is>
      </c>
      <c r="D27" s="13" t="inlineStr">
        <is>
          <t>☐</t>
        </is>
      </c>
      <c r="E27" s="14" t="inlineStr">
        <is>
          <t>Not Reviewed</t>
        </is>
      </c>
      <c r="F27" s="14" t="inlineStr">
        <is>
          <t>Not Assessed</t>
        </is>
      </c>
      <c r="G27" s="12" t="inlineStr"/>
      <c r="H27" s="12" t="inlineStr">
        <is>
          <t>Engineering Lead</t>
        </is>
      </c>
      <c r="I27" s="12" t="inlineStr"/>
    </row>
    <row r="28" ht="42" customHeight="1">
      <c r="A28" s="15" t="inlineStr">
        <is>
          <t>TM-018</t>
        </is>
      </c>
      <c r="B28" s="11" t="inlineStr">
        <is>
          <t>3. Assets, Data &amp; Security Objectives</t>
        </is>
      </c>
      <c r="C28" s="16" t="inlineStr">
        <is>
          <t>Security-relevant assets are identified, including data, identities, services, credentials, and business functions.</t>
        </is>
      </c>
      <c r="D28" s="13" t="inlineStr">
        <is>
          <t>☐</t>
        </is>
      </c>
      <c r="E28" s="17" t="inlineStr">
        <is>
          <t>Not Reviewed</t>
        </is>
      </c>
      <c r="F28" s="17" t="inlineStr">
        <is>
          <t>Not Assessed</t>
        </is>
      </c>
      <c r="G28" s="16" t="inlineStr"/>
      <c r="H28" s="16" t="inlineStr">
        <is>
          <t>Product Owner / Security</t>
        </is>
      </c>
      <c r="I28" s="16" t="inlineStr"/>
    </row>
    <row r="29" ht="42" customHeight="1">
      <c r="A29" s="10" t="inlineStr">
        <is>
          <t>TM-019</t>
        </is>
      </c>
      <c r="B29" s="11" t="inlineStr">
        <is>
          <t>3. Assets, Data &amp; Security Objectives</t>
        </is>
      </c>
      <c r="C29" s="12" t="inlineStr">
        <is>
          <t>Data types are classified (for example, public, internal, confidential, regulated, or personal data).</t>
        </is>
      </c>
      <c r="D29" s="13" t="inlineStr">
        <is>
          <t>☐</t>
        </is>
      </c>
      <c r="E29" s="14" t="inlineStr">
        <is>
          <t>Not Reviewed</t>
        </is>
      </c>
      <c r="F29" s="14" t="inlineStr">
        <is>
          <t>Not Assessed</t>
        </is>
      </c>
      <c r="G29" s="12" t="inlineStr"/>
      <c r="H29" s="12" t="inlineStr">
        <is>
          <t>Data Owner</t>
        </is>
      </c>
      <c r="I29" s="12" t="inlineStr"/>
    </row>
    <row r="30" ht="42" customHeight="1">
      <c r="A30" s="15" t="inlineStr">
        <is>
          <t>TM-020</t>
        </is>
      </c>
      <c r="B30" s="11" t="inlineStr">
        <is>
          <t>3. Assets, Data &amp; Security Objectives</t>
        </is>
      </c>
      <c r="C30" s="16" t="inlineStr">
        <is>
          <t>Data lifecycle is mapped: collection, processing, transmission, storage, sharing, archival, and deletion.</t>
        </is>
      </c>
      <c r="D30" s="13" t="inlineStr">
        <is>
          <t>☐</t>
        </is>
      </c>
      <c r="E30" s="17" t="inlineStr">
        <is>
          <t>Not Reviewed</t>
        </is>
      </c>
      <c r="F30" s="17" t="inlineStr">
        <is>
          <t>Not Assessed</t>
        </is>
      </c>
      <c r="G30" s="16" t="inlineStr"/>
      <c r="H30" s="16" t="inlineStr">
        <is>
          <t>Data Owner / Architect</t>
        </is>
      </c>
      <c r="I30" s="16" t="inlineStr"/>
    </row>
    <row r="31" ht="42" customHeight="1">
      <c r="A31" s="10" t="inlineStr">
        <is>
          <t>TM-021</t>
        </is>
      </c>
      <c r="B31" s="11" t="inlineStr">
        <is>
          <t>3. Assets, Data &amp; Security Objectives</t>
        </is>
      </c>
      <c r="C31" s="12" t="inlineStr">
        <is>
          <t>Required confidentiality, integrity, availability, authenticity, privacy, and accountability objectives are stated.</t>
        </is>
      </c>
      <c r="D31" s="13" t="inlineStr">
        <is>
          <t>☐</t>
        </is>
      </c>
      <c r="E31" s="14" t="inlineStr">
        <is>
          <t>Not Reviewed</t>
        </is>
      </c>
      <c r="F31" s="14" t="inlineStr">
        <is>
          <t>Not Assessed</t>
        </is>
      </c>
      <c r="G31" s="12" t="inlineStr"/>
      <c r="H31" s="12" t="inlineStr">
        <is>
          <t>Security Lead</t>
        </is>
      </c>
      <c r="I31" s="12" t="inlineStr"/>
    </row>
    <row r="32" ht="42" customHeight="1">
      <c r="A32" s="15" t="inlineStr">
        <is>
          <t>TM-022</t>
        </is>
      </c>
      <c r="B32" s="11" t="inlineStr">
        <is>
          <t>3. Assets, Data &amp; Security Objectives</t>
        </is>
      </c>
      <c r="C32" s="16" t="inlineStr">
        <is>
          <t>Critical business processes and unacceptable business impacts are identified.</t>
        </is>
      </c>
      <c r="D32" s="13" t="inlineStr">
        <is>
          <t>☐</t>
        </is>
      </c>
      <c r="E32" s="17" t="inlineStr">
        <is>
          <t>Not Reviewed</t>
        </is>
      </c>
      <c r="F32" s="17" t="inlineStr">
        <is>
          <t>Not Assessed</t>
        </is>
      </c>
      <c r="G32" s="16" t="inlineStr"/>
      <c r="H32" s="16" t="inlineStr">
        <is>
          <t>Business Owner</t>
        </is>
      </c>
      <c r="I32" s="16" t="inlineStr"/>
    </row>
    <row r="33" ht="42" customHeight="1">
      <c r="A33" s="10" t="inlineStr">
        <is>
          <t>TM-023</t>
        </is>
      </c>
      <c r="B33" s="11" t="inlineStr">
        <is>
          <t>3. Assets, Data &amp; Security Objectives</t>
        </is>
      </c>
      <c r="C33" s="12" t="inlineStr">
        <is>
          <t>Data retention, data minimization, and deletion requirements are considered.</t>
        </is>
      </c>
      <c r="D33" s="13" t="inlineStr">
        <is>
          <t>☐</t>
        </is>
      </c>
      <c r="E33" s="14" t="inlineStr">
        <is>
          <t>Not Reviewed</t>
        </is>
      </c>
      <c r="F33" s="14" t="inlineStr">
        <is>
          <t>Not Assessed</t>
        </is>
      </c>
      <c r="G33" s="12" t="inlineStr"/>
      <c r="H33" s="12" t="inlineStr">
        <is>
          <t>Privacy / Data Owner</t>
        </is>
      </c>
      <c r="I33" s="12" t="inlineStr"/>
    </row>
    <row r="34" ht="42" customHeight="1">
      <c r="A34" s="15" t="inlineStr">
        <is>
          <t>TM-024</t>
        </is>
      </c>
      <c r="B34" s="11" t="inlineStr">
        <is>
          <t>3. Assets, Data &amp; Security Objectives</t>
        </is>
      </c>
      <c r="C34" s="16" t="inlineStr">
        <is>
          <t>Privileged identities, service accounts, machine identities, and trust relationships are identified.</t>
        </is>
      </c>
      <c r="D34" s="13" t="inlineStr">
        <is>
          <t>☐</t>
        </is>
      </c>
      <c r="E34" s="17" t="inlineStr">
        <is>
          <t>Not Reviewed</t>
        </is>
      </c>
      <c r="F34" s="17" t="inlineStr">
        <is>
          <t>Not Assessed</t>
        </is>
      </c>
      <c r="G34" s="16" t="inlineStr"/>
      <c r="H34" s="16" t="inlineStr">
        <is>
          <t>IAM / Platform Team</t>
        </is>
      </c>
      <c r="I34" s="16" t="inlineStr"/>
    </row>
    <row r="35" ht="42" customHeight="1">
      <c r="A35" s="10" t="inlineStr">
        <is>
          <t>TM-025</t>
        </is>
      </c>
      <c r="B35" s="11" t="inlineStr">
        <is>
          <t>4. Threat Identification</t>
        </is>
      </c>
      <c r="C35" s="12" t="inlineStr">
        <is>
          <t>A threat-identification method is selected and recorded (for example, STRIDE, attack trees, or abuse cases).</t>
        </is>
      </c>
      <c r="D35" s="13" t="inlineStr">
        <is>
          <t>☐</t>
        </is>
      </c>
      <c r="E35" s="14" t="inlineStr">
        <is>
          <t>Not Reviewed</t>
        </is>
      </c>
      <c r="F35" s="14" t="inlineStr">
        <is>
          <t>Not Assessed</t>
        </is>
      </c>
      <c r="G35" s="12" t="inlineStr"/>
      <c r="H35" s="12" t="inlineStr">
        <is>
          <t>Threat Modeling Facilitator</t>
        </is>
      </c>
      <c r="I35" s="12" t="inlineStr"/>
    </row>
    <row r="36" ht="42" customHeight="1">
      <c r="A36" s="15" t="inlineStr">
        <is>
          <t>TM-026</t>
        </is>
      </c>
      <c r="B36" s="11" t="inlineStr">
        <is>
          <t>4. Threat Identification</t>
        </is>
      </c>
      <c r="C36" s="16" t="inlineStr">
        <is>
          <t>Spoofing threats are considered for users, services, devices, and external systems.</t>
        </is>
      </c>
      <c r="D36" s="13" t="inlineStr">
        <is>
          <t>☐</t>
        </is>
      </c>
      <c r="E36" s="17" t="inlineStr">
        <is>
          <t>Not Reviewed</t>
        </is>
      </c>
      <c r="F36" s="17" t="inlineStr">
        <is>
          <t>Not Assessed</t>
        </is>
      </c>
      <c r="G36" s="16" t="inlineStr"/>
      <c r="H36" s="16" t="inlineStr">
        <is>
          <t>Security Engineer</t>
        </is>
      </c>
      <c r="I36" s="16" t="inlineStr"/>
    </row>
    <row r="37" ht="42" customHeight="1">
      <c r="A37" s="10" t="inlineStr">
        <is>
          <t>TM-027</t>
        </is>
      </c>
      <c r="B37" s="11" t="inlineStr">
        <is>
          <t>4. Threat Identification</t>
        </is>
      </c>
      <c r="C37" s="12" t="inlineStr">
        <is>
          <t>Tampering threats are considered for data, requests, messages, configurations, and software artifacts.</t>
        </is>
      </c>
      <c r="D37" s="13" t="inlineStr">
        <is>
          <t>☐</t>
        </is>
      </c>
      <c r="E37" s="14" t="inlineStr">
        <is>
          <t>Not Reviewed</t>
        </is>
      </c>
      <c r="F37" s="14" t="inlineStr">
        <is>
          <t>Not Assessed</t>
        </is>
      </c>
      <c r="G37" s="12" t="inlineStr"/>
      <c r="H37" s="12" t="inlineStr">
        <is>
          <t>Security Engineer</t>
        </is>
      </c>
      <c r="I37" s="12" t="inlineStr"/>
    </row>
    <row r="38" ht="42" customHeight="1">
      <c r="A38" s="15" t="inlineStr">
        <is>
          <t>TM-028</t>
        </is>
      </c>
      <c r="B38" s="11" t="inlineStr">
        <is>
          <t>4. Threat Identification</t>
        </is>
      </c>
      <c r="C38" s="16" t="inlineStr">
        <is>
          <t>Repudiation threats are considered, including auditability and integrity of security logs.</t>
        </is>
      </c>
      <c r="D38" s="13" t="inlineStr">
        <is>
          <t>☐</t>
        </is>
      </c>
      <c r="E38" s="17" t="inlineStr">
        <is>
          <t>Not Reviewed</t>
        </is>
      </c>
      <c r="F38" s="17" t="inlineStr">
        <is>
          <t>Not Assessed</t>
        </is>
      </c>
      <c r="G38" s="16" t="inlineStr"/>
      <c r="H38" s="16" t="inlineStr">
        <is>
          <t>Security Engineer</t>
        </is>
      </c>
      <c r="I38" s="16" t="inlineStr"/>
    </row>
    <row r="39" ht="42" customHeight="1">
      <c r="A39" s="10" t="inlineStr">
        <is>
          <t>TM-029</t>
        </is>
      </c>
      <c r="B39" s="11" t="inlineStr">
        <is>
          <t>4. Threat Identification</t>
        </is>
      </c>
      <c r="C39" s="12" t="inlineStr">
        <is>
          <t>Information disclosure threats are considered for data in transit, at rest, in memory, logs, and error responses.</t>
        </is>
      </c>
      <c r="D39" s="13" t="inlineStr">
        <is>
          <t>☐</t>
        </is>
      </c>
      <c r="E39" s="14" t="inlineStr">
        <is>
          <t>Not Reviewed</t>
        </is>
      </c>
      <c r="F39" s="14" t="inlineStr">
        <is>
          <t>Not Assessed</t>
        </is>
      </c>
      <c r="G39" s="12" t="inlineStr"/>
      <c r="H39" s="12" t="inlineStr">
        <is>
          <t>Security Engineer</t>
        </is>
      </c>
      <c r="I39" s="12" t="inlineStr"/>
    </row>
    <row r="40" ht="42" customHeight="1">
      <c r="A40" s="15" t="inlineStr">
        <is>
          <t>TM-030</t>
        </is>
      </c>
      <c r="B40" s="11" t="inlineStr">
        <is>
          <t>4. Threat Identification</t>
        </is>
      </c>
      <c r="C40" s="16" t="inlineStr">
        <is>
          <t>Denial-of-service threats are considered for resource exhaustion, dependency failure, and abusive traffic.</t>
        </is>
      </c>
      <c r="D40" s="13" t="inlineStr">
        <is>
          <t>☐</t>
        </is>
      </c>
      <c r="E40" s="17" t="inlineStr">
        <is>
          <t>Not Reviewed</t>
        </is>
      </c>
      <c r="F40" s="17" t="inlineStr">
        <is>
          <t>Not Assessed</t>
        </is>
      </c>
      <c r="G40" s="16" t="inlineStr"/>
      <c r="H40" s="16" t="inlineStr">
        <is>
          <t>Security Engineer</t>
        </is>
      </c>
      <c r="I40" s="16" t="inlineStr"/>
    </row>
    <row r="41" ht="42" customHeight="1">
      <c r="A41" s="10" t="inlineStr">
        <is>
          <t>TM-031</t>
        </is>
      </c>
      <c r="B41" s="11" t="inlineStr">
        <is>
          <t>4. Threat Identification</t>
        </is>
      </c>
      <c r="C41" s="12" t="inlineStr">
        <is>
          <t>Elevation-of-privilege threats are considered across roles, APIs, services, tenants, and administrative interfaces.</t>
        </is>
      </c>
      <c r="D41" s="13" t="inlineStr">
        <is>
          <t>☐</t>
        </is>
      </c>
      <c r="E41" s="14" t="inlineStr">
        <is>
          <t>Not Reviewed</t>
        </is>
      </c>
      <c r="F41" s="14" t="inlineStr">
        <is>
          <t>Not Assessed</t>
        </is>
      </c>
      <c r="G41" s="12" t="inlineStr"/>
      <c r="H41" s="12" t="inlineStr">
        <is>
          <t>Security Engineer</t>
        </is>
      </c>
      <c r="I41" s="12" t="inlineStr"/>
    </row>
    <row r="42" ht="42" customHeight="1">
      <c r="A42" s="15" t="inlineStr">
        <is>
          <t>TM-032</t>
        </is>
      </c>
      <c r="B42" s="11" t="inlineStr">
        <is>
          <t>4. Threat Identification</t>
        </is>
      </c>
      <c r="C42" s="16" t="inlineStr">
        <is>
          <t>Threats at each trust boundary and data flow are explicitly reviewed.</t>
        </is>
      </c>
      <c r="D42" s="13" t="inlineStr">
        <is>
          <t>☐</t>
        </is>
      </c>
      <c r="E42" s="17" t="inlineStr">
        <is>
          <t>Not Reviewed</t>
        </is>
      </c>
      <c r="F42" s="17" t="inlineStr">
        <is>
          <t>Not Assessed</t>
        </is>
      </c>
      <c r="G42" s="16" t="inlineStr"/>
      <c r="H42" s="16" t="inlineStr">
        <is>
          <t>Threat Modeling Team</t>
        </is>
      </c>
      <c r="I42" s="16" t="inlineStr"/>
    </row>
    <row r="43" ht="42" customHeight="1">
      <c r="A43" s="10" t="inlineStr">
        <is>
          <t>TM-033</t>
        </is>
      </c>
      <c r="B43" s="11" t="inlineStr">
        <is>
          <t>4. Threat Identification</t>
        </is>
      </c>
      <c r="C43" s="12" t="inlineStr">
        <is>
          <t>Abuse cases and misuse scenarios are documented for high-risk business functions.</t>
        </is>
      </c>
      <c r="D43" s="13" t="inlineStr">
        <is>
          <t>☐</t>
        </is>
      </c>
      <c r="E43" s="14" t="inlineStr">
        <is>
          <t>Not Reviewed</t>
        </is>
      </c>
      <c r="F43" s="14" t="inlineStr">
        <is>
          <t>Not Assessed</t>
        </is>
      </c>
      <c r="G43" s="12" t="inlineStr"/>
      <c r="H43" s="12" t="inlineStr">
        <is>
          <t>Product Owner / Security</t>
        </is>
      </c>
      <c r="I43" s="12" t="inlineStr"/>
    </row>
    <row r="44" ht="42" customHeight="1">
      <c r="A44" s="15" t="inlineStr">
        <is>
          <t>TM-034</t>
        </is>
      </c>
      <c r="B44" s="11" t="inlineStr">
        <is>
          <t>4. Threat Identification</t>
        </is>
      </c>
      <c r="C44" s="16" t="inlineStr">
        <is>
          <t>Threats involving injection, broken access control, authentication/session weaknesses, and insecure deserialization are considered where relevant.</t>
        </is>
      </c>
      <c r="D44" s="13" t="inlineStr">
        <is>
          <t>☐</t>
        </is>
      </c>
      <c r="E44" s="17" t="inlineStr">
        <is>
          <t>Not Reviewed</t>
        </is>
      </c>
      <c r="F44" s="17" t="inlineStr">
        <is>
          <t>Not Assessed</t>
        </is>
      </c>
      <c r="G44" s="16" t="inlineStr"/>
      <c r="H44" s="16" t="inlineStr">
        <is>
          <t>AppSec</t>
        </is>
      </c>
      <c r="I44" s="16" t="inlineStr"/>
    </row>
    <row r="45" ht="42" customHeight="1">
      <c r="A45" s="10" t="inlineStr">
        <is>
          <t>TM-035</t>
        </is>
      </c>
      <c r="B45" s="11" t="inlineStr">
        <is>
          <t>4. Threat Identification</t>
        </is>
      </c>
      <c r="C45" s="12" t="inlineStr">
        <is>
          <t>Threats involving SSRF, file upload/download, path traversal, and unsafe redirects are considered where relevant.</t>
        </is>
      </c>
      <c r="D45" s="13" t="inlineStr">
        <is>
          <t>☐</t>
        </is>
      </c>
      <c r="E45" s="14" t="inlineStr">
        <is>
          <t>Not Reviewed</t>
        </is>
      </c>
      <c r="F45" s="14" t="inlineStr">
        <is>
          <t>Not Assessed</t>
        </is>
      </c>
      <c r="G45" s="12" t="inlineStr"/>
      <c r="H45" s="12" t="inlineStr">
        <is>
          <t>AppSec</t>
        </is>
      </c>
      <c r="I45" s="12" t="inlineStr"/>
    </row>
    <row r="46" ht="42" customHeight="1">
      <c r="A46" s="15" t="inlineStr">
        <is>
          <t>TM-036</t>
        </is>
      </c>
      <c r="B46" s="11" t="inlineStr">
        <is>
          <t>4. Threat Identification</t>
        </is>
      </c>
      <c r="C46" s="16" t="inlineStr">
        <is>
          <t>Threats involving secrets exposure, supply-chain compromise, vulnerable dependencies, and build pipeline compromise are considered.</t>
        </is>
      </c>
      <c r="D46" s="13" t="inlineStr">
        <is>
          <t>☐</t>
        </is>
      </c>
      <c r="E46" s="17" t="inlineStr">
        <is>
          <t>Not Reviewed</t>
        </is>
      </c>
      <c r="F46" s="17" t="inlineStr">
        <is>
          <t>Not Assessed</t>
        </is>
      </c>
      <c r="G46" s="16" t="inlineStr"/>
      <c r="H46" s="16" t="inlineStr">
        <is>
          <t>DevSecOps</t>
        </is>
      </c>
      <c r="I46" s="16" t="inlineStr"/>
    </row>
    <row r="47" ht="42" customHeight="1">
      <c r="A47" s="10" t="inlineStr">
        <is>
          <t>TM-037</t>
        </is>
      </c>
      <c r="B47" s="11" t="inlineStr">
        <is>
          <t>4. Threat Identification</t>
        </is>
      </c>
      <c r="C47" s="12" t="inlineStr">
        <is>
          <t>Cloud-specific threats are considered where applicable, including misconfiguration, overly permissive IAM, metadata access, and exposed services.</t>
        </is>
      </c>
      <c r="D47" s="13" t="inlineStr">
        <is>
          <t>☐</t>
        </is>
      </c>
      <c r="E47" s="14" t="inlineStr">
        <is>
          <t>Not Reviewed</t>
        </is>
      </c>
      <c r="F47" s="14" t="inlineStr">
        <is>
          <t>Not Assessed</t>
        </is>
      </c>
      <c r="G47" s="12" t="inlineStr"/>
      <c r="H47" s="12" t="inlineStr">
        <is>
          <t>Cloud Security</t>
        </is>
      </c>
      <c r="I47" s="12" t="inlineStr"/>
    </row>
    <row r="48" ht="42" customHeight="1">
      <c r="A48" s="15" t="inlineStr">
        <is>
          <t>TM-038</t>
        </is>
      </c>
      <c r="B48" s="11" t="inlineStr">
        <is>
          <t>4. Threat Identification</t>
        </is>
      </c>
      <c r="C48" s="16" t="inlineStr">
        <is>
          <t>Privacy threats, excessive data collection, unintended disclosure, and re-identification are considered where applicable.</t>
        </is>
      </c>
      <c r="D48" s="13" t="inlineStr">
        <is>
          <t>☐</t>
        </is>
      </c>
      <c r="E48" s="17" t="inlineStr">
        <is>
          <t>Not Reviewed</t>
        </is>
      </c>
      <c r="F48" s="17" t="inlineStr">
        <is>
          <t>Not Assessed</t>
        </is>
      </c>
      <c r="G48" s="16" t="inlineStr"/>
      <c r="H48" s="16" t="inlineStr">
        <is>
          <t>Privacy / AppSec</t>
        </is>
      </c>
      <c r="I48" s="16" t="inlineStr"/>
    </row>
    <row r="49" ht="42" customHeight="1">
      <c r="A49" s="10" t="inlineStr">
        <is>
          <t>TM-039</t>
        </is>
      </c>
      <c r="B49" s="11" t="inlineStr">
        <is>
          <t>4. Threat Identification</t>
        </is>
      </c>
      <c r="C49" s="12" t="inlineStr">
        <is>
          <t>Insider threats, compromised accounts, compromised endpoints, and malicious or compromised third parties are considered.</t>
        </is>
      </c>
      <c r="D49" s="13" t="inlineStr">
        <is>
          <t>☐</t>
        </is>
      </c>
      <c r="E49" s="14" t="inlineStr">
        <is>
          <t>Not Reviewed</t>
        </is>
      </c>
      <c r="F49" s="14" t="inlineStr">
        <is>
          <t>Not Assessed</t>
        </is>
      </c>
      <c r="G49" s="12" t="inlineStr"/>
      <c r="H49" s="12" t="inlineStr">
        <is>
          <t>Security Lead</t>
        </is>
      </c>
      <c r="I49" s="12" t="inlineStr"/>
    </row>
    <row r="50" ht="42" customHeight="1">
      <c r="A50" s="15" t="inlineStr">
        <is>
          <t>TM-040</t>
        </is>
      </c>
      <c r="B50" s="11" t="inlineStr">
        <is>
          <t>4. Threat Identification</t>
        </is>
      </c>
      <c r="C50" s="16" t="inlineStr">
        <is>
          <t>Threat assumptions, attacker capabilities, and relevant attack surfaces are documented.</t>
        </is>
      </c>
      <c r="D50" s="13" t="inlineStr">
        <is>
          <t>☐</t>
        </is>
      </c>
      <c r="E50" s="17" t="inlineStr">
        <is>
          <t>Not Reviewed</t>
        </is>
      </c>
      <c r="F50" s="17" t="inlineStr">
        <is>
          <t>Not Assessed</t>
        </is>
      </c>
      <c r="G50" s="16" t="inlineStr"/>
      <c r="H50" s="16" t="inlineStr">
        <is>
          <t>Threat Modeling Facilitator</t>
        </is>
      </c>
      <c r="I50" s="16" t="inlineStr"/>
    </row>
    <row r="51" ht="42" customHeight="1">
      <c r="A51" s="10" t="inlineStr">
        <is>
          <t>TM-041</t>
        </is>
      </c>
      <c r="B51" s="11" t="inlineStr">
        <is>
          <t>5. Risk Analysis &amp; Prioritization</t>
        </is>
      </c>
      <c r="C51" s="12" t="inlineStr">
        <is>
          <t>Each material threat is recorded in a threat register with a unique identifier.</t>
        </is>
      </c>
      <c r="D51" s="13" t="inlineStr">
        <is>
          <t>☐</t>
        </is>
      </c>
      <c r="E51" s="14" t="inlineStr">
        <is>
          <t>Not Reviewed</t>
        </is>
      </c>
      <c r="F51" s="14" t="inlineStr">
        <is>
          <t>Not Assessed</t>
        </is>
      </c>
      <c r="G51" s="12" t="inlineStr"/>
      <c r="H51" s="12" t="inlineStr">
        <is>
          <t>Threat Modeling Facilitator</t>
        </is>
      </c>
      <c r="I51" s="12" t="inlineStr"/>
    </row>
    <row r="52" ht="42" customHeight="1">
      <c r="A52" s="15" t="inlineStr">
        <is>
          <t>TM-042</t>
        </is>
      </c>
      <c r="B52" s="11" t="inlineStr">
        <is>
          <t>5. Risk Analysis &amp; Prioritization</t>
        </is>
      </c>
      <c r="C52" s="16" t="inlineStr">
        <is>
          <t>Each threat is linked to affected assets, components, data flows, and trust boundaries.</t>
        </is>
      </c>
      <c r="D52" s="13" t="inlineStr">
        <is>
          <t>☐</t>
        </is>
      </c>
      <c r="E52" s="17" t="inlineStr">
        <is>
          <t>Not Reviewed</t>
        </is>
      </c>
      <c r="F52" s="17" t="inlineStr">
        <is>
          <t>Not Assessed</t>
        </is>
      </c>
      <c r="G52" s="16" t="inlineStr"/>
      <c r="H52" s="16" t="inlineStr">
        <is>
          <t>Security Engineer</t>
        </is>
      </c>
      <c r="I52" s="16" t="inlineStr"/>
    </row>
    <row r="53" ht="42" customHeight="1">
      <c r="A53" s="10" t="inlineStr">
        <is>
          <t>TM-043</t>
        </is>
      </c>
      <c r="B53" s="11" t="inlineStr">
        <is>
          <t>5. Risk Analysis &amp; Prioritization</t>
        </is>
      </c>
      <c r="C53" s="12" t="inlineStr">
        <is>
          <t>Likelihood and impact criteria are defined and applied consistently.</t>
        </is>
      </c>
      <c r="D53" s="13" t="inlineStr">
        <is>
          <t>☐</t>
        </is>
      </c>
      <c r="E53" s="14" t="inlineStr">
        <is>
          <t>Not Reviewed</t>
        </is>
      </c>
      <c r="F53" s="14" t="inlineStr">
        <is>
          <t>Not Assessed</t>
        </is>
      </c>
      <c r="G53" s="12" t="inlineStr"/>
      <c r="H53" s="12" t="inlineStr">
        <is>
          <t>Risk Owner / Security</t>
        </is>
      </c>
      <c r="I53" s="12" t="inlineStr"/>
    </row>
    <row r="54" ht="42" customHeight="1">
      <c r="A54" s="15" t="inlineStr">
        <is>
          <t>TM-044</t>
        </is>
      </c>
      <c r="B54" s="11" t="inlineStr">
        <is>
          <t>5. Risk Analysis &amp; Prioritization</t>
        </is>
      </c>
      <c r="C54" s="16" t="inlineStr">
        <is>
          <t>Business, operational, privacy, financial, and regulatory impacts are considered as appropriate.</t>
        </is>
      </c>
      <c r="D54" s="13" t="inlineStr">
        <is>
          <t>☐</t>
        </is>
      </c>
      <c r="E54" s="17" t="inlineStr">
        <is>
          <t>Not Reviewed</t>
        </is>
      </c>
      <c r="F54" s="17" t="inlineStr">
        <is>
          <t>Not Assessed</t>
        </is>
      </c>
      <c r="G54" s="16" t="inlineStr"/>
      <c r="H54" s="16" t="inlineStr">
        <is>
          <t>Risk Owner</t>
        </is>
      </c>
      <c r="I54" s="16" t="inlineStr"/>
    </row>
    <row r="55" ht="42" customHeight="1">
      <c r="A55" s="10" t="inlineStr">
        <is>
          <t>TM-045</t>
        </is>
      </c>
      <c r="B55" s="11" t="inlineStr">
        <is>
          <t>5. Risk Analysis &amp; Prioritization</t>
        </is>
      </c>
      <c r="C55" s="12" t="inlineStr">
        <is>
          <t>An inherent risk rating is assigned before considering proposed mitigations.</t>
        </is>
      </c>
      <c r="D55" s="13" t="inlineStr">
        <is>
          <t>☐</t>
        </is>
      </c>
      <c r="E55" s="14" t="inlineStr">
        <is>
          <t>Not Reviewed</t>
        </is>
      </c>
      <c r="F55" s="14" t="inlineStr">
        <is>
          <t>Not Assessed</t>
        </is>
      </c>
      <c r="G55" s="12" t="inlineStr"/>
      <c r="H55" s="12" t="inlineStr">
        <is>
          <t>Risk Owner / Security</t>
        </is>
      </c>
      <c r="I55" s="12" t="inlineStr"/>
    </row>
    <row r="56" ht="42" customHeight="1">
      <c r="A56" s="15" t="inlineStr">
        <is>
          <t>TM-046</t>
        </is>
      </c>
      <c r="B56" s="11" t="inlineStr">
        <is>
          <t>5. Risk Analysis &amp; Prioritization</t>
        </is>
      </c>
      <c r="C56" s="16" t="inlineStr">
        <is>
          <t>Existing controls and their effectiveness are recorded separately from proposed mitigations.</t>
        </is>
      </c>
      <c r="D56" s="13" t="inlineStr">
        <is>
          <t>☐</t>
        </is>
      </c>
      <c r="E56" s="17" t="inlineStr">
        <is>
          <t>Not Reviewed</t>
        </is>
      </c>
      <c r="F56" s="17" t="inlineStr">
        <is>
          <t>Not Assessed</t>
        </is>
      </c>
      <c r="G56" s="16" t="inlineStr"/>
      <c r="H56" s="16" t="inlineStr">
        <is>
          <t>Control Owner</t>
        </is>
      </c>
      <c r="I56" s="16" t="inlineStr"/>
    </row>
    <row r="57" ht="42" customHeight="1">
      <c r="A57" s="10" t="inlineStr">
        <is>
          <t>TM-047</t>
        </is>
      </c>
      <c r="B57" s="11" t="inlineStr">
        <is>
          <t>5. Risk Analysis &amp; Prioritization</t>
        </is>
      </c>
      <c r="C57" s="12" t="inlineStr">
        <is>
          <t>Residual risk is estimated after planned or implemented mitigations.</t>
        </is>
      </c>
      <c r="D57" s="13" t="inlineStr">
        <is>
          <t>☐</t>
        </is>
      </c>
      <c r="E57" s="14" t="inlineStr">
        <is>
          <t>Not Reviewed</t>
        </is>
      </c>
      <c r="F57" s="14" t="inlineStr">
        <is>
          <t>Not Assessed</t>
        </is>
      </c>
      <c r="G57" s="12" t="inlineStr"/>
      <c r="H57" s="12" t="inlineStr">
        <is>
          <t>Risk Owner / Security</t>
        </is>
      </c>
      <c r="I57" s="12" t="inlineStr"/>
    </row>
    <row r="58" ht="42" customHeight="1">
      <c r="A58" s="15" t="inlineStr">
        <is>
          <t>TM-048</t>
        </is>
      </c>
      <c r="B58" s="11" t="inlineStr">
        <is>
          <t>5. Risk Analysis &amp; Prioritization</t>
        </is>
      </c>
      <c r="C58" s="16" t="inlineStr">
        <is>
          <t>High and critical risks have a named owner, due date, treatment decision, and escalation path.</t>
        </is>
      </c>
      <c r="D58" s="13" t="inlineStr">
        <is>
          <t>☐</t>
        </is>
      </c>
      <c r="E58" s="17" t="inlineStr">
        <is>
          <t>Not Reviewed</t>
        </is>
      </c>
      <c r="F58" s="17" t="inlineStr">
        <is>
          <t>Not Assessed</t>
        </is>
      </c>
      <c r="G58" s="16" t="inlineStr"/>
      <c r="H58" s="16" t="inlineStr">
        <is>
          <t>Project Manager / Risk Owner</t>
        </is>
      </c>
      <c r="I58" s="16" t="inlineStr"/>
    </row>
    <row r="59" ht="42" customHeight="1">
      <c r="A59" s="10" t="inlineStr">
        <is>
          <t>TM-049</t>
        </is>
      </c>
      <c r="B59" s="11" t="inlineStr">
        <is>
          <t>5. Risk Analysis &amp; Prioritization</t>
        </is>
      </c>
      <c r="C59" s="12" t="inlineStr">
        <is>
          <t>Risk acceptance is documented by an authorized business or risk owner and time-limited where appropriate.</t>
        </is>
      </c>
      <c r="D59" s="13" t="inlineStr">
        <is>
          <t>☐</t>
        </is>
      </c>
      <c r="E59" s="14" t="inlineStr">
        <is>
          <t>Not Reviewed</t>
        </is>
      </c>
      <c r="F59" s="14" t="inlineStr">
        <is>
          <t>Not Assessed</t>
        </is>
      </c>
      <c r="G59" s="12" t="inlineStr"/>
      <c r="H59" s="12" t="inlineStr">
        <is>
          <t>Business Risk Owner</t>
        </is>
      </c>
      <c r="I59" s="12" t="inlineStr"/>
    </row>
    <row r="60" ht="42" customHeight="1">
      <c r="A60" s="15" t="inlineStr">
        <is>
          <t>TM-050</t>
        </is>
      </c>
      <c r="B60" s="11" t="inlineStr">
        <is>
          <t>6. Mitigation &amp; Security Requirements</t>
        </is>
      </c>
      <c r="C60" s="16" t="inlineStr">
        <is>
          <t>Each threat has a defined response: mitigate, avoid, transfer/share, or formally accept.</t>
        </is>
      </c>
      <c r="D60" s="13" t="inlineStr">
        <is>
          <t>☐</t>
        </is>
      </c>
      <c r="E60" s="17" t="inlineStr">
        <is>
          <t>Not Reviewed</t>
        </is>
      </c>
      <c r="F60" s="17" t="inlineStr">
        <is>
          <t>Not Assessed</t>
        </is>
      </c>
      <c r="G60" s="16" t="inlineStr"/>
      <c r="H60" s="16" t="inlineStr">
        <is>
          <t>Risk Owner</t>
        </is>
      </c>
      <c r="I60" s="16" t="inlineStr"/>
    </row>
    <row r="61" ht="42" customHeight="1">
      <c r="A61" s="10" t="inlineStr">
        <is>
          <t>TM-051</t>
        </is>
      </c>
      <c r="B61" s="11" t="inlineStr">
        <is>
          <t>6. Mitigation &amp; Security Requirements</t>
        </is>
      </c>
      <c r="C61" s="12" t="inlineStr">
        <is>
          <t>Mitigations are translated into actionable security requirements, design changes, or backlog items.</t>
        </is>
      </c>
      <c r="D61" s="13" t="inlineStr">
        <is>
          <t>☐</t>
        </is>
      </c>
      <c r="E61" s="14" t="inlineStr">
        <is>
          <t>Not Reviewed</t>
        </is>
      </c>
      <c r="F61" s="14" t="inlineStr">
        <is>
          <t>Not Assessed</t>
        </is>
      </c>
      <c r="G61" s="12" t="inlineStr"/>
      <c r="H61" s="12" t="inlineStr">
        <is>
          <t>Engineering Lead</t>
        </is>
      </c>
      <c r="I61" s="12" t="inlineStr"/>
    </row>
    <row r="62" ht="42" customHeight="1">
      <c r="A62" s="15" t="inlineStr">
        <is>
          <t>TM-052</t>
        </is>
      </c>
      <c r="B62" s="11" t="inlineStr">
        <is>
          <t>6. Mitigation &amp; Security Requirements</t>
        </is>
      </c>
      <c r="C62" s="16" t="inlineStr">
        <is>
          <t>Mitigations follow least privilege and deny-by-default principles where applicable.</t>
        </is>
      </c>
      <c r="D62" s="13" t="inlineStr">
        <is>
          <t>☐</t>
        </is>
      </c>
      <c r="E62" s="17" t="inlineStr">
        <is>
          <t>Not Reviewed</t>
        </is>
      </c>
      <c r="F62" s="17" t="inlineStr">
        <is>
          <t>Not Assessed</t>
        </is>
      </c>
      <c r="G62" s="16" t="inlineStr"/>
      <c r="H62" s="16" t="inlineStr">
        <is>
          <t>Architect / Developer</t>
        </is>
      </c>
      <c r="I62" s="16" t="inlineStr"/>
    </row>
    <row r="63" ht="42" customHeight="1">
      <c r="A63" s="10" t="inlineStr">
        <is>
          <t>TM-053</t>
        </is>
      </c>
      <c r="B63" s="11" t="inlineStr">
        <is>
          <t>6. Mitigation &amp; Security Requirements</t>
        </is>
      </c>
      <c r="C63" s="12" t="inlineStr">
        <is>
          <t>Authentication, authorization, session management, and privileged access controls are defined for relevant flows.</t>
        </is>
      </c>
      <c r="D63" s="13" t="inlineStr">
        <is>
          <t>☐</t>
        </is>
      </c>
      <c r="E63" s="14" t="inlineStr">
        <is>
          <t>Not Reviewed</t>
        </is>
      </c>
      <c r="F63" s="14" t="inlineStr">
        <is>
          <t>Not Assessed</t>
        </is>
      </c>
      <c r="G63" s="12" t="inlineStr"/>
      <c r="H63" s="12" t="inlineStr">
        <is>
          <t>IAM / AppSec</t>
        </is>
      </c>
      <c r="I63" s="12" t="inlineStr"/>
    </row>
    <row r="64" ht="42" customHeight="1">
      <c r="A64" s="15" t="inlineStr">
        <is>
          <t>TM-054</t>
        </is>
      </c>
      <c r="B64" s="11" t="inlineStr">
        <is>
          <t>6. Mitigation &amp; Security Requirements</t>
        </is>
      </c>
      <c r="C64" s="16" t="inlineStr">
        <is>
          <t>Input validation, output encoding, safe query handling, and file-handling controls are defined where relevant.</t>
        </is>
      </c>
      <c r="D64" s="13" t="inlineStr">
        <is>
          <t>☐</t>
        </is>
      </c>
      <c r="E64" s="17" t="inlineStr">
        <is>
          <t>Not Reviewed</t>
        </is>
      </c>
      <c r="F64" s="17" t="inlineStr">
        <is>
          <t>Not Assessed</t>
        </is>
      </c>
      <c r="G64" s="16" t="inlineStr"/>
      <c r="H64" s="16" t="inlineStr">
        <is>
          <t>Developer / AppSec</t>
        </is>
      </c>
      <c r="I64" s="16" t="inlineStr"/>
    </row>
    <row r="65" ht="42" customHeight="1">
      <c r="A65" s="10" t="inlineStr">
        <is>
          <t>TM-055</t>
        </is>
      </c>
      <c r="B65" s="11" t="inlineStr">
        <is>
          <t>6. Mitigation &amp; Security Requirements</t>
        </is>
      </c>
      <c r="C65" s="12" t="inlineStr">
        <is>
          <t>Encryption in transit and at rest, key management, and certificate handling are addressed where required.</t>
        </is>
      </c>
      <c r="D65" s="13" t="inlineStr">
        <is>
          <t>☐</t>
        </is>
      </c>
      <c r="E65" s="14" t="inlineStr">
        <is>
          <t>Not Reviewed</t>
        </is>
      </c>
      <c r="F65" s="14" t="inlineStr">
        <is>
          <t>Not Assessed</t>
        </is>
      </c>
      <c r="G65" s="12" t="inlineStr"/>
      <c r="H65" s="12" t="inlineStr">
        <is>
          <t>Security Architect</t>
        </is>
      </c>
      <c r="I65" s="12" t="inlineStr"/>
    </row>
    <row r="66" ht="42" customHeight="1">
      <c r="A66" s="15" t="inlineStr">
        <is>
          <t>TM-056</t>
        </is>
      </c>
      <c r="B66" s="11" t="inlineStr">
        <is>
          <t>6. Mitigation &amp; Security Requirements</t>
        </is>
      </c>
      <c r="C66" s="16" t="inlineStr">
        <is>
          <t>Secrets are stored, accessed, rotated, and revoked through an approved secrets-management approach.</t>
        </is>
      </c>
      <c r="D66" s="13" t="inlineStr">
        <is>
          <t>☐</t>
        </is>
      </c>
      <c r="E66" s="17" t="inlineStr">
        <is>
          <t>Not Reviewed</t>
        </is>
      </c>
      <c r="F66" s="17" t="inlineStr">
        <is>
          <t>Not Assessed</t>
        </is>
      </c>
      <c r="G66" s="16" t="inlineStr"/>
      <c r="H66" s="16" t="inlineStr">
        <is>
          <t>DevSecOps</t>
        </is>
      </c>
      <c r="I66" s="16" t="inlineStr"/>
    </row>
    <row r="67" ht="42" customHeight="1">
      <c r="A67" s="10" t="inlineStr">
        <is>
          <t>TM-057</t>
        </is>
      </c>
      <c r="B67" s="11" t="inlineStr">
        <is>
          <t>6. Mitigation &amp; Security Requirements</t>
        </is>
      </c>
      <c r="C67" s="12" t="inlineStr">
        <is>
          <t>Security logging, alerting, audit trails, and sensitive-data redaction requirements are defined.</t>
        </is>
      </c>
      <c r="D67" s="13" t="inlineStr">
        <is>
          <t>☐</t>
        </is>
      </c>
      <c r="E67" s="14" t="inlineStr">
        <is>
          <t>Not Reviewed</t>
        </is>
      </c>
      <c r="F67" s="14" t="inlineStr">
        <is>
          <t>Not Assessed</t>
        </is>
      </c>
      <c r="G67" s="12" t="inlineStr"/>
      <c r="H67" s="12" t="inlineStr">
        <is>
          <t>SOC / Developer</t>
        </is>
      </c>
      <c r="I67" s="12" t="inlineStr"/>
    </row>
    <row r="68" ht="42" customHeight="1">
      <c r="A68" s="15" t="inlineStr">
        <is>
          <t>TM-058</t>
        </is>
      </c>
      <c r="B68" s="11" t="inlineStr">
        <is>
          <t>6. Mitigation &amp; Security Requirements</t>
        </is>
      </c>
      <c r="C68" s="16" t="inlineStr">
        <is>
          <t>Rate limiting, quotas, timeouts, retry limits, and resilience controls are defined for abuse or availability threats.</t>
        </is>
      </c>
      <c r="D68" s="13" t="inlineStr">
        <is>
          <t>☐</t>
        </is>
      </c>
      <c r="E68" s="17" t="inlineStr">
        <is>
          <t>Not Reviewed</t>
        </is>
      </c>
      <c r="F68" s="17" t="inlineStr">
        <is>
          <t>Not Assessed</t>
        </is>
      </c>
      <c r="G68" s="16" t="inlineStr"/>
      <c r="H68" s="16" t="inlineStr">
        <is>
          <t>Architect / SRE</t>
        </is>
      </c>
      <c r="I68" s="16" t="inlineStr"/>
    </row>
    <row r="69" ht="42" customHeight="1">
      <c r="A69" s="10" t="inlineStr">
        <is>
          <t>TM-059</t>
        </is>
      </c>
      <c r="B69" s="11" t="inlineStr">
        <is>
          <t>6. Mitigation &amp; Security Requirements</t>
        </is>
      </c>
      <c r="C69" s="12" t="inlineStr">
        <is>
          <t>Third-party, API, dependency, and supply-chain mitigations are specified where applicable.</t>
        </is>
      </c>
      <c r="D69" s="13" t="inlineStr">
        <is>
          <t>☐</t>
        </is>
      </c>
      <c r="E69" s="14" t="inlineStr">
        <is>
          <t>Not Reviewed</t>
        </is>
      </c>
      <c r="F69" s="14" t="inlineStr">
        <is>
          <t>Not Assessed</t>
        </is>
      </c>
      <c r="G69" s="12" t="inlineStr"/>
      <c r="H69" s="12" t="inlineStr">
        <is>
          <t>DevSecOps / Vendor Owner</t>
        </is>
      </c>
      <c r="I69" s="12" t="inlineStr"/>
    </row>
    <row r="70" ht="42" customHeight="1">
      <c r="A70" s="15" t="inlineStr">
        <is>
          <t>TM-060</t>
        </is>
      </c>
      <c r="B70" s="11" t="inlineStr">
        <is>
          <t>6. Mitigation &amp; Security Requirements</t>
        </is>
      </c>
      <c r="C70" s="16" t="inlineStr">
        <is>
          <t>Security requirements are testable and mapped to relevant threats and acceptance criteria.</t>
        </is>
      </c>
      <c r="D70" s="13" t="inlineStr">
        <is>
          <t>☐</t>
        </is>
      </c>
      <c r="E70" s="17" t="inlineStr">
        <is>
          <t>Not Reviewed</t>
        </is>
      </c>
      <c r="F70" s="17" t="inlineStr">
        <is>
          <t>Not Assessed</t>
        </is>
      </c>
      <c r="G70" s="16" t="inlineStr"/>
      <c r="H70" s="16" t="inlineStr">
        <is>
          <t>QA / AppSec</t>
        </is>
      </c>
      <c r="I70" s="16" t="inlineStr"/>
    </row>
    <row r="71" ht="42" customHeight="1">
      <c r="A71" s="10" t="inlineStr">
        <is>
          <t>TM-061</t>
        </is>
      </c>
      <c r="B71" s="11" t="inlineStr">
        <is>
          <t>7. Verification &amp; Validation</t>
        </is>
      </c>
      <c r="C71" s="12" t="inlineStr">
        <is>
          <t>Threat mitigations are mapped to test cases or other verification evidence.</t>
        </is>
      </c>
      <c r="D71" s="13" t="inlineStr">
        <is>
          <t>☐</t>
        </is>
      </c>
      <c r="E71" s="14" t="inlineStr">
        <is>
          <t>Not Reviewed</t>
        </is>
      </c>
      <c r="F71" s="14" t="inlineStr">
        <is>
          <t>Not Assessed</t>
        </is>
      </c>
      <c r="G71" s="12" t="inlineStr"/>
      <c r="H71" s="12" t="inlineStr">
        <is>
          <t>QA / AppSec</t>
        </is>
      </c>
      <c r="I71" s="12" t="inlineStr"/>
    </row>
    <row r="72" ht="42" customHeight="1">
      <c r="A72" s="15" t="inlineStr">
        <is>
          <t>TM-062</t>
        </is>
      </c>
      <c r="B72" s="11" t="inlineStr">
        <is>
          <t>7. Verification &amp; Validation</t>
        </is>
      </c>
      <c r="C72" s="16" t="inlineStr">
        <is>
          <t>SAST, DAST, SCA, configuration scanning, and/or penetration testing are selected based on application risk and technology.</t>
        </is>
      </c>
      <c r="D72" s="13" t="inlineStr">
        <is>
          <t>☐</t>
        </is>
      </c>
      <c r="E72" s="17" t="inlineStr">
        <is>
          <t>Not Reviewed</t>
        </is>
      </c>
      <c r="F72" s="17" t="inlineStr">
        <is>
          <t>Not Assessed</t>
        </is>
      </c>
      <c r="G72" s="16" t="inlineStr"/>
      <c r="H72" s="16" t="inlineStr">
        <is>
          <t>AppSec / DevSecOps</t>
        </is>
      </c>
      <c r="I72" s="16" t="inlineStr"/>
    </row>
    <row r="73" ht="42" customHeight="1">
      <c r="A73" s="10" t="inlineStr">
        <is>
          <t>TM-063</t>
        </is>
      </c>
      <c r="B73" s="11" t="inlineStr">
        <is>
          <t>7. Verification &amp; Validation</t>
        </is>
      </c>
      <c r="C73" s="12" t="inlineStr">
        <is>
          <t>Security tests cover abuse cases and high-risk threat scenarios, not only standard functional paths.</t>
        </is>
      </c>
      <c r="D73" s="13" t="inlineStr">
        <is>
          <t>☐</t>
        </is>
      </c>
      <c r="E73" s="14" t="inlineStr">
        <is>
          <t>Not Reviewed</t>
        </is>
      </c>
      <c r="F73" s="14" t="inlineStr">
        <is>
          <t>Not Assessed</t>
        </is>
      </c>
      <c r="G73" s="12" t="inlineStr"/>
      <c r="H73" s="12" t="inlineStr">
        <is>
          <t>QA / AppSec</t>
        </is>
      </c>
      <c r="I73" s="12" t="inlineStr"/>
    </row>
    <row r="74" ht="42" customHeight="1">
      <c r="A74" s="15" t="inlineStr">
        <is>
          <t>TM-064</t>
        </is>
      </c>
      <c r="B74" s="11" t="inlineStr">
        <is>
          <t>7. Verification &amp; Validation</t>
        </is>
      </c>
      <c r="C74" s="16" t="inlineStr">
        <is>
          <t>Authorization checks are tested for direct object access, privilege escalation, and tenant/data isolation where relevant.</t>
        </is>
      </c>
      <c r="D74" s="13" t="inlineStr">
        <is>
          <t>☐</t>
        </is>
      </c>
      <c r="E74" s="17" t="inlineStr">
        <is>
          <t>Not Reviewed</t>
        </is>
      </c>
      <c r="F74" s="17" t="inlineStr">
        <is>
          <t>Not Assessed</t>
        </is>
      </c>
      <c r="G74" s="16" t="inlineStr"/>
      <c r="H74" s="16" t="inlineStr">
        <is>
          <t>QA / AppSec</t>
        </is>
      </c>
      <c r="I74" s="16" t="inlineStr"/>
    </row>
    <row r="75" ht="42" customHeight="1">
      <c r="A75" s="10" t="inlineStr">
        <is>
          <t>TM-065</t>
        </is>
      </c>
      <c r="B75" s="11" t="inlineStr">
        <is>
          <t>7. Verification &amp; Validation</t>
        </is>
      </c>
      <c r="C75" s="12" t="inlineStr">
        <is>
          <t>Negative tests verify secure failure behavior, input rejection, error handling, and rate limits where relevant.</t>
        </is>
      </c>
      <c r="D75" s="13" t="inlineStr">
        <is>
          <t>☐</t>
        </is>
      </c>
      <c r="E75" s="14" t="inlineStr">
        <is>
          <t>Not Reviewed</t>
        </is>
      </c>
      <c r="F75" s="14" t="inlineStr">
        <is>
          <t>Not Assessed</t>
        </is>
      </c>
      <c r="G75" s="12" t="inlineStr"/>
      <c r="H75" s="12" t="inlineStr">
        <is>
          <t>QA / Developer</t>
        </is>
      </c>
      <c r="I75" s="12" t="inlineStr"/>
    </row>
    <row r="76" ht="42" customHeight="1">
      <c r="A76" s="15" t="inlineStr">
        <is>
          <t>TM-066</t>
        </is>
      </c>
      <c r="B76" s="11" t="inlineStr">
        <is>
          <t>7. Verification &amp; Validation</t>
        </is>
      </c>
      <c r="C76" s="16" t="inlineStr">
        <is>
          <t>Findings are triaged, assigned, remediated, and retested before release according to risk criteria.</t>
        </is>
      </c>
      <c r="D76" s="13" t="inlineStr">
        <is>
          <t>☐</t>
        </is>
      </c>
      <c r="E76" s="17" t="inlineStr">
        <is>
          <t>Not Reviewed</t>
        </is>
      </c>
      <c r="F76" s="17" t="inlineStr">
        <is>
          <t>Not Assessed</t>
        </is>
      </c>
      <c r="G76" s="16" t="inlineStr"/>
      <c r="H76" s="16" t="inlineStr">
        <is>
          <t>Engineering Lead</t>
        </is>
      </c>
      <c r="I76" s="16" t="inlineStr"/>
    </row>
    <row r="77" ht="42" customHeight="1">
      <c r="A77" s="10" t="inlineStr">
        <is>
          <t>TM-067</t>
        </is>
      </c>
      <c r="B77" s="11" t="inlineStr">
        <is>
          <t>7. Verification &amp; Validation</t>
        </is>
      </c>
      <c r="C77" s="12" t="inlineStr">
        <is>
          <t>Evidence demonstrates that critical and high-risk mitigations are implemented and effective.</t>
        </is>
      </c>
      <c r="D77" s="13" t="inlineStr">
        <is>
          <t>☐</t>
        </is>
      </c>
      <c r="E77" s="14" t="inlineStr">
        <is>
          <t>Not Reviewed</t>
        </is>
      </c>
      <c r="F77" s="14" t="inlineStr">
        <is>
          <t>Not Assessed</t>
        </is>
      </c>
      <c r="G77" s="12" t="inlineStr"/>
      <c r="H77" s="12" t="inlineStr">
        <is>
          <t>Security Reviewer</t>
        </is>
      </c>
      <c r="I77" s="12" t="inlineStr"/>
    </row>
    <row r="78" ht="42" customHeight="1">
      <c r="A78" s="15" t="inlineStr">
        <is>
          <t>TM-068</t>
        </is>
      </c>
      <c r="B78" s="11" t="inlineStr">
        <is>
          <t>8. Governance, Release &amp; Maintenance</t>
        </is>
      </c>
      <c r="C78" s="16" t="inlineStr">
        <is>
          <t>The threat model is reviewed by appropriate engineering and security stakeholders.</t>
        </is>
      </c>
      <c r="D78" s="13" t="inlineStr">
        <is>
          <t>☐</t>
        </is>
      </c>
      <c r="E78" s="17" t="inlineStr">
        <is>
          <t>Not Reviewed</t>
        </is>
      </c>
      <c r="F78" s="17" t="inlineStr">
        <is>
          <t>Not Assessed</t>
        </is>
      </c>
      <c r="G78" s="16" t="inlineStr"/>
      <c r="H78" s="16" t="inlineStr">
        <is>
          <t>Security Lead / Architect</t>
        </is>
      </c>
      <c r="I78" s="16" t="inlineStr"/>
    </row>
    <row r="79" ht="42" customHeight="1">
      <c r="A79" s="10" t="inlineStr">
        <is>
          <t>TM-069</t>
        </is>
      </c>
      <c r="B79" s="11" t="inlineStr">
        <is>
          <t>8. Governance, Release &amp; Maintenance</t>
        </is>
      </c>
      <c r="C79" s="12" t="inlineStr">
        <is>
          <t>Unresolved risks and exceptions are documented and approved before release by authorized owners.</t>
        </is>
      </c>
      <c r="D79" s="13" t="inlineStr">
        <is>
          <t>☐</t>
        </is>
      </c>
      <c r="E79" s="14" t="inlineStr">
        <is>
          <t>Not Reviewed</t>
        </is>
      </c>
      <c r="F79" s="14" t="inlineStr">
        <is>
          <t>Not Assessed</t>
        </is>
      </c>
      <c r="G79" s="12" t="inlineStr"/>
      <c r="H79" s="12" t="inlineStr">
        <is>
          <t>Product Owner / Risk Owner</t>
        </is>
      </c>
      <c r="I79" s="12" t="inlineStr"/>
    </row>
    <row r="80" ht="42" customHeight="1">
      <c r="A80" s="15" t="inlineStr">
        <is>
          <t>TM-070</t>
        </is>
      </c>
      <c r="B80" s="11" t="inlineStr">
        <is>
          <t>8. Governance, Release &amp; Maintenance</t>
        </is>
      </c>
      <c r="C80" s="16" t="inlineStr">
        <is>
          <t>The threat model, diagrams, threat register, decisions, and evidence are version-controlled and access-controlled.</t>
        </is>
      </c>
      <c r="D80" s="13" t="inlineStr">
        <is>
          <t>☐</t>
        </is>
      </c>
      <c r="E80" s="17" t="inlineStr">
        <is>
          <t>Not Reviewed</t>
        </is>
      </c>
      <c r="F80" s="17" t="inlineStr">
        <is>
          <t>Not Assessed</t>
        </is>
      </c>
      <c r="G80" s="16" t="inlineStr"/>
      <c r="H80" s="16" t="inlineStr">
        <is>
          <t>Repository Owner</t>
        </is>
      </c>
      <c r="I80" s="16" t="inlineStr"/>
    </row>
    <row r="81" ht="42" customHeight="1">
      <c r="A81" s="10" t="inlineStr">
        <is>
          <t>TM-071</t>
        </is>
      </c>
      <c r="B81" s="11" t="inlineStr">
        <is>
          <t>8. Governance, Release &amp; Maintenance</t>
        </is>
      </c>
      <c r="C81" s="12" t="inlineStr">
        <is>
          <t>A release gate confirms required threat-modeling activities and high-risk actions are complete or formally accepted.</t>
        </is>
      </c>
      <c r="D81" s="13" t="inlineStr">
        <is>
          <t>☐</t>
        </is>
      </c>
      <c r="E81" s="14" t="inlineStr">
        <is>
          <t>Not Reviewed</t>
        </is>
      </c>
      <c r="F81" s="14" t="inlineStr">
        <is>
          <t>Not Assessed</t>
        </is>
      </c>
      <c r="G81" s="12" t="inlineStr"/>
      <c r="H81" s="12" t="inlineStr">
        <is>
          <t>Release Manager</t>
        </is>
      </c>
      <c r="I81" s="12" t="inlineStr"/>
    </row>
    <row r="82" ht="42" customHeight="1">
      <c r="A82" s="15" t="inlineStr">
        <is>
          <t>TM-072</t>
        </is>
      </c>
      <c r="B82" s="11" t="inlineStr">
        <is>
          <t>8. Governance, Release &amp; Maintenance</t>
        </is>
      </c>
      <c r="C82" s="16" t="inlineStr">
        <is>
          <t>The threat model is updated for material changes to architecture, data flows, dependencies, exposure, or business use.</t>
        </is>
      </c>
      <c r="D82" s="13" t="inlineStr">
        <is>
          <t>☐</t>
        </is>
      </c>
      <c r="E82" s="17" t="inlineStr">
        <is>
          <t>Not Reviewed</t>
        </is>
      </c>
      <c r="F82" s="17" t="inlineStr">
        <is>
          <t>Not Assessed</t>
        </is>
      </c>
      <c r="G82" s="16" t="inlineStr"/>
      <c r="H82" s="16" t="inlineStr">
        <is>
          <t>Solution Architect</t>
        </is>
      </c>
      <c r="I82" s="16" t="inlineStr"/>
    </row>
    <row r="83" ht="42" customHeight="1">
      <c r="A83" s="10" t="inlineStr">
        <is>
          <t>TM-073</t>
        </is>
      </c>
      <c r="B83" s="11" t="inlineStr">
        <is>
          <t>8. Governance, Release &amp; Maintenance</t>
        </is>
      </c>
      <c r="C83" s="12" t="inlineStr">
        <is>
          <t>Threat intelligence, incidents, vulnerabilities, and lessons learned are used to revisit relevant threats.</t>
        </is>
      </c>
      <c r="D83" s="13" t="inlineStr">
        <is>
          <t>☐</t>
        </is>
      </c>
      <c r="E83" s="14" t="inlineStr">
        <is>
          <t>Not Reviewed</t>
        </is>
      </c>
      <c r="F83" s="14" t="inlineStr">
        <is>
          <t>Not Assessed</t>
        </is>
      </c>
      <c r="G83" s="12" t="inlineStr"/>
      <c r="H83" s="12" t="inlineStr">
        <is>
          <t>Security Operations</t>
        </is>
      </c>
      <c r="I83" s="12" t="inlineStr"/>
    </row>
    <row r="84" ht="42" customHeight="1">
      <c r="A84" s="15" t="inlineStr">
        <is>
          <t>TM-074</t>
        </is>
      </c>
      <c r="B84" s="11" t="inlineStr">
        <is>
          <t>8. Governance, Release &amp; Maintenance</t>
        </is>
      </c>
      <c r="C84" s="16" t="inlineStr">
        <is>
          <t>Threat-modeling actions are tracked to closure and overdue high-risk actions are escalated.</t>
        </is>
      </c>
      <c r="D84" s="13" t="inlineStr">
        <is>
          <t>☐</t>
        </is>
      </c>
      <c r="E84" s="17" t="inlineStr">
        <is>
          <t>Not Reviewed</t>
        </is>
      </c>
      <c r="F84" s="17" t="inlineStr">
        <is>
          <t>Not Assessed</t>
        </is>
      </c>
      <c r="G84" s="16" t="inlineStr"/>
      <c r="H84" s="16" t="inlineStr">
        <is>
          <t>Project Manager</t>
        </is>
      </c>
      <c r="I84" s="16" t="inlineStr"/>
    </row>
    <row r="85" ht="42" customHeight="1">
      <c r="A85" s="10" t="inlineStr">
        <is>
          <t>TM-075</t>
        </is>
      </c>
      <c r="B85" s="11" t="inlineStr">
        <is>
          <t>8. Governance, Release &amp; Maintenance</t>
        </is>
      </c>
      <c r="C85" s="12" t="inlineStr">
        <is>
          <t>A periodic review cadence is defined for long-lived applications and critical services.</t>
        </is>
      </c>
      <c r="D85" s="13" t="inlineStr">
        <is>
          <t>☐</t>
        </is>
      </c>
      <c r="E85" s="14" t="inlineStr">
        <is>
          <t>Not Reviewed</t>
        </is>
      </c>
      <c r="F85" s="14" t="inlineStr">
        <is>
          <t>Not Assessed</t>
        </is>
      </c>
      <c r="G85" s="12" t="inlineStr"/>
      <c r="H85" s="12" t="inlineStr">
        <is>
          <t>Application Owner</t>
        </is>
      </c>
      <c r="I85" s="12" t="inlineStr"/>
    </row>
  </sheetData>
  <autoFilter ref="A10:I85"/>
  <mergeCells count="12">
    <mergeCell ref="A2:I2"/>
    <mergeCell ref="B8:E8"/>
    <mergeCell ref="B4:E4"/>
    <mergeCell ref="F7:I7"/>
    <mergeCell ref="F8:I8"/>
    <mergeCell ref="F4:I4"/>
    <mergeCell ref="B6:E6"/>
    <mergeCell ref="A1:I1"/>
    <mergeCell ref="B7:E7"/>
    <mergeCell ref="B5:E5"/>
    <mergeCell ref="F5:I5"/>
    <mergeCell ref="F6:I6"/>
  </mergeCells>
  <conditionalFormatting sqref="E11:E85">
    <cfRule type="expression" priority="1" dxfId="0">
      <formula>E11="Pass"</formula>
    </cfRule>
    <cfRule type="expression" priority="2" dxfId="1">
      <formula>E11="Fail"</formula>
    </cfRule>
    <cfRule type="expression" priority="3" dxfId="2">
      <formula>E11="Not Reviewed"</formula>
    </cfRule>
    <cfRule type="expression" priority="4" dxfId="3">
      <formula>E11="Not Applicable"</formula>
    </cfRule>
    <cfRule type="expression" priority="5" dxfId="4">
      <formula>E11="In Progress"</formula>
    </cfRule>
  </conditionalFormatting>
  <conditionalFormatting sqref="F11:F85">
    <cfRule type="expression" priority="6" dxfId="1">
      <formula>F11="Critical"</formula>
    </cfRule>
    <cfRule type="expression" priority="7" dxfId="5">
      <formula>F11="High"</formula>
    </cfRule>
    <cfRule type="expression" priority="8" dxfId="2">
      <formula>F11="Medium"</formula>
    </cfRule>
    <cfRule type="expression" priority="9" dxfId="0">
      <formula>F11="Low"</formula>
    </cfRule>
  </conditionalFormatting>
  <dataValidations count="3">
    <dataValidation sqref="E11:E85" showDropDown="0" showInputMessage="0" showErrorMessage="0" allowBlank="0" error="Select a valid status from the dropdown." prompt="Choose the control assessment result." type="list">
      <formula1>"Not Reviewed,Pass,Fail,Not Applicable,In Progress"</formula1>
    </dataValidation>
    <dataValidation sqref="D11:D85" showDropDown="0" showInputMessage="0" showErrorMessage="0" allowBlank="0" prompt="Choose ☑ after verification; otherwise leave ☐." type="list">
      <formula1>"☐,☑"</formula1>
    </dataValidation>
    <dataValidation sqref="F11:F85" showDropDown="0" showInputMessage="0" showErrorMessage="0" allowBlank="0" type="list">
      <formula1>"Not Assessed,Critical,High,Medium,Low"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44" customWidth="1" min="4" max="4"/>
    <col width="24" customWidth="1" min="5" max="5"/>
    <col width="38" customWidth="1" min="6" max="6"/>
    <col width="34" customWidth="1" min="7" max="7"/>
    <col width="16" customWidth="1" min="8" max="8"/>
    <col width="14" customWidth="1" min="9" max="9"/>
    <col width="16" customWidth="1" min="10" max="10"/>
    <col width="18" customWidth="1" min="11" max="11"/>
    <col width="42" customWidth="1" min="12" max="12"/>
    <col width="24" customWidth="1" min="13" max="13"/>
    <col width="16" customWidth="1" min="14" max="14"/>
    <col width="40" customWidth="1" min="15" max="15"/>
  </cols>
  <sheetData>
    <row r="1" ht="30" customHeight="1">
      <c r="A1" s="1" t="inlineStr">
        <is>
          <t>Threat Register &amp; Risk Treatment</t>
        </is>
      </c>
    </row>
    <row r="2" ht="32" customHeight="1">
      <c r="A2" s="7" t="inlineStr">
        <is>
          <t>Record each identified threat. Use one row per threat; link it to the component/data flow and checklist evidence. Risk scoring should follow your organization's approved methodology.</t>
        </is>
      </c>
    </row>
    <row r="4" ht="42" customHeight="1">
      <c r="A4" s="18" t="inlineStr">
        <is>
          <t>Threat ID</t>
        </is>
      </c>
      <c r="B4" s="18" t="inlineStr">
        <is>
          <t>Component / Data Flow</t>
        </is>
      </c>
      <c r="C4" s="18" t="inlineStr">
        <is>
          <t>Asset / Data</t>
        </is>
      </c>
      <c r="D4" s="18" t="inlineStr">
        <is>
          <t>Threat Scenario</t>
        </is>
      </c>
      <c r="E4" s="18" t="inlineStr">
        <is>
          <t>Threat Category</t>
        </is>
      </c>
      <c r="F4" s="18" t="inlineStr">
        <is>
          <t>Attack Vector / Preconditions</t>
        </is>
      </c>
      <c r="G4" s="18" t="inlineStr">
        <is>
          <t>Existing Controls</t>
        </is>
      </c>
      <c r="H4" s="18" t="inlineStr">
        <is>
          <t>Likelihood (1-5)</t>
        </is>
      </c>
      <c r="I4" s="18" t="inlineStr">
        <is>
          <t>Impact (1-5)</t>
        </is>
      </c>
      <c r="J4" s="18" t="inlineStr">
        <is>
          <t>Inherent Score</t>
        </is>
      </c>
      <c r="K4" s="18" t="inlineStr">
        <is>
          <t>Inherent Rating</t>
        </is>
      </c>
      <c r="L4" s="18" t="inlineStr">
        <is>
          <t>Treatment / Mitigation</t>
        </is>
      </c>
      <c r="M4" s="18" t="inlineStr">
        <is>
          <t>Owner</t>
        </is>
      </c>
      <c r="N4" s="18" t="inlineStr">
        <is>
          <t>Due Date</t>
        </is>
      </c>
      <c r="O4" s="18" t="inlineStr">
        <is>
          <t>Residual Risk / Acceptance</t>
        </is>
      </c>
    </row>
    <row r="5" ht="48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>
        <f>IF(OR(H5="",I5=""),"",H5*I5)</f>
        <v/>
      </c>
      <c r="K5" s="12">
        <f>IF(J5="","",IF(J5&gt;=20,"Critical",IF(J5&gt;=15,"High",IF(J5&gt;=6,"Medium","Low"))))</f>
        <v/>
      </c>
      <c r="L5" s="12" t="n"/>
      <c r="M5" s="12" t="n"/>
      <c r="N5" s="12" t="n"/>
      <c r="O5" s="12" t="n"/>
    </row>
    <row r="6" ht="48" customHeight="1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>
        <f>IF(OR(H6="",I6=""),"",H6*I6)</f>
        <v/>
      </c>
      <c r="K6" s="16">
        <f>IF(J6="","",IF(J6&gt;=20,"Critical",IF(J6&gt;=15,"High",IF(J6&gt;=6,"Medium","Low"))))</f>
        <v/>
      </c>
      <c r="L6" s="16" t="n"/>
      <c r="M6" s="16" t="n"/>
      <c r="N6" s="16" t="n"/>
      <c r="O6" s="16" t="n"/>
    </row>
    <row r="7" ht="4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>
        <f>IF(OR(H7="",I7=""),"",H7*I7)</f>
        <v/>
      </c>
      <c r="K7" s="12">
        <f>IF(J7="","",IF(J7&gt;=20,"Critical",IF(J7&gt;=15,"High",IF(J7&gt;=6,"Medium","Low"))))</f>
        <v/>
      </c>
      <c r="L7" s="12" t="n"/>
      <c r="M7" s="12" t="n"/>
      <c r="N7" s="12" t="n"/>
      <c r="O7" s="12" t="n"/>
    </row>
    <row r="8" ht="48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>
        <f>IF(OR(H8="",I8=""),"",H8*I8)</f>
        <v/>
      </c>
      <c r="K8" s="16">
        <f>IF(J8="","",IF(J8&gt;=20,"Critical",IF(J8&gt;=15,"High",IF(J8&gt;=6,"Medium","Low"))))</f>
        <v/>
      </c>
      <c r="L8" s="16" t="n"/>
      <c r="M8" s="16" t="n"/>
      <c r="N8" s="16" t="n"/>
      <c r="O8" s="16" t="n"/>
    </row>
    <row r="9" ht="4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>
        <f>IF(OR(H9="",I9=""),"",H9*I9)</f>
        <v/>
      </c>
      <c r="K9" s="12">
        <f>IF(J9="","",IF(J9&gt;=20,"Critical",IF(J9&gt;=15,"High",IF(J9&gt;=6,"Medium","Low"))))</f>
        <v/>
      </c>
      <c r="L9" s="12" t="n"/>
      <c r="M9" s="12" t="n"/>
      <c r="N9" s="12" t="n"/>
      <c r="O9" s="12" t="n"/>
    </row>
    <row r="10" ht="48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>
        <f>IF(OR(H10="",I10=""),"",H10*I10)</f>
        <v/>
      </c>
      <c r="K10" s="16">
        <f>IF(J10="","",IF(J10&gt;=20,"Critical",IF(J10&gt;=15,"High",IF(J10&gt;=6,"Medium","Low"))))</f>
        <v/>
      </c>
      <c r="L10" s="16" t="n"/>
      <c r="M10" s="16" t="n"/>
      <c r="N10" s="16" t="n"/>
      <c r="O10" s="16" t="n"/>
    </row>
    <row r="11" ht="4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>
        <f>IF(OR(H11="",I11=""),"",H11*I11)</f>
        <v/>
      </c>
      <c r="K11" s="12">
        <f>IF(J11="","",IF(J11&gt;=20,"Critical",IF(J11&gt;=15,"High",IF(J11&gt;=6,"Medium","Low"))))</f>
        <v/>
      </c>
      <c r="L11" s="12" t="n"/>
      <c r="M11" s="12" t="n"/>
      <c r="N11" s="12" t="n"/>
      <c r="O11" s="12" t="n"/>
    </row>
    <row r="12" ht="48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>
        <f>IF(OR(H12="",I12=""),"",H12*I12)</f>
        <v/>
      </c>
      <c r="K12" s="16">
        <f>IF(J12="","",IF(J12&gt;=20,"Critical",IF(J12&gt;=15,"High",IF(J12&gt;=6,"Medium","Low"))))</f>
        <v/>
      </c>
      <c r="L12" s="16" t="n"/>
      <c r="M12" s="16" t="n"/>
      <c r="N12" s="16" t="n"/>
      <c r="O12" s="16" t="n"/>
    </row>
    <row r="13" ht="4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>
        <f>IF(OR(H13="",I13=""),"",H13*I13)</f>
        <v/>
      </c>
      <c r="K13" s="12">
        <f>IF(J13="","",IF(J13&gt;=20,"Critical",IF(J13&gt;=15,"High",IF(J13&gt;=6,"Medium","Low"))))</f>
        <v/>
      </c>
      <c r="L13" s="12" t="n"/>
      <c r="M13" s="12" t="n"/>
      <c r="N13" s="12" t="n"/>
      <c r="O13" s="12" t="n"/>
    </row>
    <row r="14" ht="48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>
        <f>IF(OR(H14="",I14=""),"",H14*I14)</f>
        <v/>
      </c>
      <c r="K14" s="16">
        <f>IF(J14="","",IF(J14&gt;=20,"Critical",IF(J14&gt;=15,"High",IF(J14&gt;=6,"Medium","Low"))))</f>
        <v/>
      </c>
      <c r="L14" s="16" t="n"/>
      <c r="M14" s="16" t="n"/>
      <c r="N14" s="16" t="n"/>
      <c r="O14" s="16" t="n"/>
    </row>
    <row r="15" ht="4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>
        <f>IF(OR(H15="",I15=""),"",H15*I15)</f>
        <v/>
      </c>
      <c r="K15" s="12">
        <f>IF(J15="","",IF(J15&gt;=20,"Critical",IF(J15&gt;=15,"High",IF(J15&gt;=6,"Medium","Low"))))</f>
        <v/>
      </c>
      <c r="L15" s="12" t="n"/>
      <c r="M15" s="12" t="n"/>
      <c r="N15" s="12" t="n"/>
      <c r="O15" s="12" t="n"/>
    </row>
    <row r="16" ht="48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>
        <f>IF(OR(H16="",I16=""),"",H16*I16)</f>
        <v/>
      </c>
      <c r="K16" s="16">
        <f>IF(J16="","",IF(J16&gt;=20,"Critical",IF(J16&gt;=15,"High",IF(J16&gt;=6,"Medium","Low"))))</f>
        <v/>
      </c>
      <c r="L16" s="16" t="n"/>
      <c r="M16" s="16" t="n"/>
      <c r="N16" s="16" t="n"/>
      <c r="O16" s="16" t="n"/>
    </row>
    <row r="17" ht="4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>
        <f>IF(OR(H17="",I17=""),"",H17*I17)</f>
        <v/>
      </c>
      <c r="K17" s="12">
        <f>IF(J17="","",IF(J17&gt;=20,"Critical",IF(J17&gt;=15,"High",IF(J17&gt;=6,"Medium","Low"))))</f>
        <v/>
      </c>
      <c r="L17" s="12" t="n"/>
      <c r="M17" s="12" t="n"/>
      <c r="N17" s="12" t="n"/>
      <c r="O17" s="12" t="n"/>
    </row>
    <row r="18" ht="48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>
        <f>IF(OR(H18="",I18=""),"",H18*I18)</f>
        <v/>
      </c>
      <c r="K18" s="16">
        <f>IF(J18="","",IF(J18&gt;=20,"Critical",IF(J18&gt;=15,"High",IF(J18&gt;=6,"Medium","Low"))))</f>
        <v/>
      </c>
      <c r="L18" s="16" t="n"/>
      <c r="M18" s="16" t="n"/>
      <c r="N18" s="16" t="n"/>
      <c r="O18" s="16" t="n"/>
    </row>
    <row r="19" ht="4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>
        <f>IF(OR(H19="",I19=""),"",H19*I19)</f>
        <v/>
      </c>
      <c r="K19" s="12">
        <f>IF(J19="","",IF(J19&gt;=20,"Critical",IF(J19&gt;=15,"High",IF(J19&gt;=6,"Medium","Low"))))</f>
        <v/>
      </c>
      <c r="L19" s="12" t="n"/>
      <c r="M19" s="12" t="n"/>
      <c r="N19" s="12" t="n"/>
      <c r="O19" s="12" t="n"/>
    </row>
    <row r="20" ht="48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>
        <f>IF(OR(H20="",I20=""),"",H20*I20)</f>
        <v/>
      </c>
      <c r="K20" s="16">
        <f>IF(J20="","",IF(J20&gt;=20,"Critical",IF(J20&gt;=15,"High",IF(J20&gt;=6,"Medium","Low"))))</f>
        <v/>
      </c>
      <c r="L20" s="16" t="n"/>
      <c r="M20" s="16" t="n"/>
      <c r="N20" s="16" t="n"/>
      <c r="O20" s="16" t="n"/>
    </row>
    <row r="21" ht="4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>
        <f>IF(OR(H21="",I21=""),"",H21*I21)</f>
        <v/>
      </c>
      <c r="K21" s="12">
        <f>IF(J21="","",IF(J21&gt;=20,"Critical",IF(J21&gt;=15,"High",IF(J21&gt;=6,"Medium","Low"))))</f>
        <v/>
      </c>
      <c r="L21" s="12" t="n"/>
      <c r="M21" s="12" t="n"/>
      <c r="N21" s="12" t="n"/>
      <c r="O21" s="12" t="n"/>
    </row>
    <row r="22" ht="48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>
        <f>IF(OR(H22="",I22=""),"",H22*I22)</f>
        <v/>
      </c>
      <c r="K22" s="16">
        <f>IF(J22="","",IF(J22&gt;=20,"Critical",IF(J22&gt;=15,"High",IF(J22&gt;=6,"Medium","Low"))))</f>
        <v/>
      </c>
      <c r="L22" s="16" t="n"/>
      <c r="M22" s="16" t="n"/>
      <c r="N22" s="16" t="n"/>
      <c r="O22" s="16" t="n"/>
    </row>
    <row r="23" ht="4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>
        <f>IF(OR(H23="",I23=""),"",H23*I23)</f>
        <v/>
      </c>
      <c r="K23" s="12">
        <f>IF(J23="","",IF(J23&gt;=20,"Critical",IF(J23&gt;=15,"High",IF(J23&gt;=6,"Medium","Low"))))</f>
        <v/>
      </c>
      <c r="L23" s="12" t="n"/>
      <c r="M23" s="12" t="n"/>
      <c r="N23" s="12" t="n"/>
      <c r="O23" s="12" t="n"/>
    </row>
    <row r="24" ht="48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>
        <f>IF(OR(H24="",I24=""),"",H24*I24)</f>
        <v/>
      </c>
      <c r="K24" s="16">
        <f>IF(J24="","",IF(J24&gt;=20,"Critical",IF(J24&gt;=15,"High",IF(J24&gt;=6,"Medium","Low"))))</f>
        <v/>
      </c>
      <c r="L24" s="16" t="n"/>
      <c r="M24" s="16" t="n"/>
      <c r="N24" s="16" t="n"/>
      <c r="O24" s="16" t="n"/>
    </row>
    <row r="25" ht="4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>
        <f>IF(OR(H25="",I25=""),"",H25*I25)</f>
        <v/>
      </c>
      <c r="K25" s="12">
        <f>IF(J25="","",IF(J25&gt;=20,"Critical",IF(J25&gt;=15,"High",IF(J25&gt;=6,"Medium","Low"))))</f>
        <v/>
      </c>
      <c r="L25" s="12" t="n"/>
      <c r="M25" s="12" t="n"/>
      <c r="N25" s="12" t="n"/>
      <c r="O25" s="12" t="n"/>
    </row>
    <row r="26" ht="48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>
        <f>IF(OR(H26="",I26=""),"",H26*I26)</f>
        <v/>
      </c>
      <c r="K26" s="16">
        <f>IF(J26="","",IF(J26&gt;=20,"Critical",IF(J26&gt;=15,"High",IF(J26&gt;=6,"Medium","Low"))))</f>
        <v/>
      </c>
      <c r="L26" s="16" t="n"/>
      <c r="M26" s="16" t="n"/>
      <c r="N26" s="16" t="n"/>
      <c r="O26" s="16" t="n"/>
    </row>
    <row r="27" ht="4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>
        <f>IF(OR(H27="",I27=""),"",H27*I27)</f>
        <v/>
      </c>
      <c r="K27" s="12">
        <f>IF(J27="","",IF(J27&gt;=20,"Critical",IF(J27&gt;=15,"High",IF(J27&gt;=6,"Medium","Low"))))</f>
        <v/>
      </c>
      <c r="L27" s="12" t="n"/>
      <c r="M27" s="12" t="n"/>
      <c r="N27" s="12" t="n"/>
      <c r="O27" s="12" t="n"/>
    </row>
    <row r="28" ht="48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>
        <f>IF(OR(H28="",I28=""),"",H28*I28)</f>
        <v/>
      </c>
      <c r="K28" s="16">
        <f>IF(J28="","",IF(J28&gt;=20,"Critical",IF(J28&gt;=15,"High",IF(J28&gt;=6,"Medium","Low"))))</f>
        <v/>
      </c>
      <c r="L28" s="16" t="n"/>
      <c r="M28" s="16" t="n"/>
      <c r="N28" s="16" t="n"/>
      <c r="O28" s="16" t="n"/>
    </row>
    <row r="29" ht="4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>
        <f>IF(OR(H29="",I29=""),"",H29*I29)</f>
        <v/>
      </c>
      <c r="K29" s="12">
        <f>IF(J29="","",IF(J29&gt;=20,"Critical",IF(J29&gt;=15,"High",IF(J29&gt;=6,"Medium","Low"))))</f>
        <v/>
      </c>
      <c r="L29" s="12" t="n"/>
      <c r="M29" s="12" t="n"/>
      <c r="N29" s="12" t="n"/>
      <c r="O29" s="12" t="n"/>
    </row>
    <row r="30" ht="48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>
        <f>IF(OR(H30="",I30=""),"",H30*I30)</f>
        <v/>
      </c>
      <c r="K30" s="16">
        <f>IF(J30="","",IF(J30&gt;=20,"Critical",IF(J30&gt;=15,"High",IF(J30&gt;=6,"Medium","Low"))))</f>
        <v/>
      </c>
      <c r="L30" s="16" t="n"/>
      <c r="M30" s="16" t="n"/>
      <c r="N30" s="16" t="n"/>
      <c r="O30" s="16" t="n"/>
    </row>
    <row r="31" ht="4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>
        <f>IF(OR(H31="",I31=""),"",H31*I31)</f>
        <v/>
      </c>
      <c r="K31" s="12">
        <f>IF(J31="","",IF(J31&gt;=20,"Critical",IF(J31&gt;=15,"High",IF(J31&gt;=6,"Medium","Low"))))</f>
        <v/>
      </c>
      <c r="L31" s="12" t="n"/>
      <c r="M31" s="12" t="n"/>
      <c r="N31" s="12" t="n"/>
      <c r="O31" s="12" t="n"/>
    </row>
    <row r="32" ht="48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>
        <f>IF(OR(H32="",I32=""),"",H32*I32)</f>
        <v/>
      </c>
      <c r="K32" s="16">
        <f>IF(J32="","",IF(J32&gt;=20,"Critical",IF(J32&gt;=15,"High",IF(J32&gt;=6,"Medium","Low"))))</f>
        <v/>
      </c>
      <c r="L32" s="16" t="n"/>
      <c r="M32" s="16" t="n"/>
      <c r="N32" s="16" t="n"/>
      <c r="O32" s="16" t="n"/>
    </row>
    <row r="33" ht="4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>
        <f>IF(OR(H33="",I33=""),"",H33*I33)</f>
        <v/>
      </c>
      <c r="K33" s="12">
        <f>IF(J33="","",IF(J33&gt;=20,"Critical",IF(J33&gt;=15,"High",IF(J33&gt;=6,"Medium","Low"))))</f>
        <v/>
      </c>
      <c r="L33" s="12" t="n"/>
      <c r="M33" s="12" t="n"/>
      <c r="N33" s="12" t="n"/>
      <c r="O33" s="12" t="n"/>
    </row>
    <row r="34" ht="48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>
        <f>IF(OR(H34="",I34=""),"",H34*I34)</f>
        <v/>
      </c>
      <c r="K34" s="16">
        <f>IF(J34="","",IF(J34&gt;=20,"Critical",IF(J34&gt;=15,"High",IF(J34&gt;=6,"Medium","Low"))))</f>
        <v/>
      </c>
      <c r="L34" s="16" t="n"/>
      <c r="M34" s="16" t="n"/>
      <c r="N34" s="16" t="n"/>
      <c r="O34" s="16" t="n"/>
    </row>
  </sheetData>
  <mergeCells count="2">
    <mergeCell ref="A1:O1"/>
    <mergeCell ref="A2:O2"/>
  </mergeCells>
  <conditionalFormatting sqref="K5:K34">
    <cfRule type="expression" priority="1" dxfId="1">
      <formula>K5="Critical"</formula>
    </cfRule>
    <cfRule type="expression" priority="2" dxfId="5">
      <formula>K5="High"</formula>
    </cfRule>
    <cfRule type="expression" priority="3" dxfId="2">
      <formula>K5="Medium"</formula>
    </cfRule>
    <cfRule type="expression" priority="4" dxfId="0">
      <formula>K5="Low"</formula>
    </cfRule>
  </conditionalFormatting>
  <dataValidations count="3">
    <dataValidation sqref="H5:H34" showDropDown="0" showInputMessage="0" showErrorMessage="0" allowBlank="1" type="list">
      <formula1>"1,2,3,4,5"</formula1>
    </dataValidation>
    <dataValidation sqref="I5:I34" showDropDown="0" showInputMessage="0" showErrorMessage="0" allowBlank="1" type="list">
      <formula1>"1,2,3,4,5"</formula1>
    </dataValidation>
    <dataValidation sqref="E5:E34" showDropDown="0" showInputMessage="0" showErrorMessage="0" allowBlank="1" type="list">
      <formula1>"Spoofing,Tampering,Repudiation,Information Disclosure,Denial of Service,Elevation of Privilege,Privacy,Supply Chain,Other"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0" customHeight="1">
      <c r="A1" s="1" t="inlineStr">
        <is>
          <t>How to Use the SSDLC Threat Modeling Workbook</t>
        </is>
      </c>
    </row>
    <row r="3" ht="54" customHeight="1">
      <c r="A3" s="19" t="inlineStr">
        <is>
          <t>Purpose</t>
        </is>
      </c>
      <c r="B3" s="12" t="inlineStr">
        <is>
          <t>Use this workbook to structure threat modeling across the Secure Software Development Life Cycle (SSDLC), from scoping and architecture through mitigation, verification, release, and maintenance.</t>
        </is>
      </c>
    </row>
    <row r="4" ht="54" customHeight="1">
      <c r="A4" s="19" t="inlineStr">
        <is>
          <t>Checklist workflow</t>
        </is>
      </c>
      <c r="B4" s="12" t="inlineStr">
        <is>
          <t>For each applicable item, review the requirement, select Pass Mark ☑ only after verification, set the Status, assign an owner, and record evidence or follow-up. Use Not Applicable only with a brief rationale in Evidence / Reference.</t>
        </is>
      </c>
    </row>
    <row r="5" ht="54" customHeight="1">
      <c r="A5" s="19" t="inlineStr">
        <is>
          <t>Threat Register</t>
        </is>
      </c>
      <c r="B5" s="12" t="inlineStr">
        <is>
          <t>Create one row per threat scenario. Record the component/data flow, asset, category, attack vector, existing controls, treatment, owner, due date, and residual risk or acceptance.</t>
        </is>
      </c>
    </row>
    <row r="6" ht="54" customHeight="1">
      <c r="A6" s="19" t="inlineStr">
        <is>
          <t>Risk score</t>
        </is>
      </c>
      <c r="B6" s="12" t="inlineStr">
        <is>
          <t>Inherent Score = Likelihood × Impact, each rated 1–5. The default bands are Low 1–5, Medium 6–14, High 15–19, Critical 20–25. Replace these bands if your organization has an approved risk matrix.</t>
        </is>
      </c>
    </row>
    <row r="7" ht="54" customHeight="1">
      <c r="A7" s="19" t="inlineStr">
        <is>
          <t>Likelihood / impact</t>
        </is>
      </c>
      <c r="B7" s="12" t="inlineStr">
        <is>
          <t>Use your organization's documented definitions for likelihood and impact. The numerical scales and rating bands are starter guidance, not a substitute for approved risk criteria.</t>
        </is>
      </c>
    </row>
    <row r="8" ht="54" customHeight="1">
      <c r="A8" s="19" t="inlineStr">
        <is>
          <t>STRIDE</t>
        </is>
      </c>
      <c r="B8" s="12" t="inlineStr">
        <is>
          <t>Consider Spoofing, Tampering, Repudiation, Information Disclosure, Denial of Service, and Elevation of Privilege for relevant components and data flows. Add privacy, supply-chain, and domain-specific threats as needed.</t>
        </is>
      </c>
    </row>
    <row r="9" ht="54" customHeight="1">
      <c r="A9" s="19" t="inlineStr">
        <is>
          <t>Review triggers</t>
        </is>
      </c>
      <c r="B9" s="12" t="inlineStr">
        <is>
          <t>Revisit the model when architecture, trust boundaries, data classification, external exposure, identity flows, dependencies, deployment patterns, or business requirements materially change.</t>
        </is>
      </c>
    </row>
    <row r="10" ht="54" customHeight="1">
      <c r="A10" s="19" t="inlineStr">
        <is>
          <t>Release gate</t>
        </is>
      </c>
      <c r="B10" s="12" t="inlineStr">
        <is>
          <t>Critical/high threats should have implemented and verified mitigations or documented risk acceptance by an authorized owner before release, consistent with organizational policy.</t>
        </is>
      </c>
    </row>
    <row r="11" ht="54" customHeight="1">
      <c r="A11" s="19" t="inlineStr">
        <is>
          <t>Limitations</t>
        </is>
      </c>
      <c r="B11" s="12" t="inlineStr">
        <is>
          <t>This is a general-purpose working checklist. Tailor it to the application, threat landscape, technology stack, risk appetite, and applicable regulatory obligations. It does not certify compliance or replace security testing.</t>
        </is>
      </c>
    </row>
    <row r="12" ht="54" customHeight="1">
      <c r="A12" s="19" t="inlineStr">
        <is>
          <t>Suggested references</t>
        </is>
      </c>
      <c r="B12" s="12" t="inlineStr">
        <is>
          <t>OWASP Threat Modeling; OWASP SAMM; Microsoft Security Development Lifecycle (SDL); NIST Secure Software Development Framework (SSDF, SP 800-218). Consult the latest official publications when establishing your process.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SSDLC Threat Modeling Checklist</dc:title>
  <dc:subject xmlns:dc="http://purl.org/dc/elements/1.1/">Threat modeling checklist, threat register, risk scoring, and review summary</dc:subject>
  <dcterms:created xmlns:dcterms="http://purl.org/dc/terms/" xmlns:xsi="http://www.w3.org/2001/XMLSchema-instance" xsi:type="dcterms:W3CDTF">2026-10-10T09:00:50Z</dcterms:created>
  <dcterms:modified xmlns:dcterms="http://purl.org/dc/terms/" xmlns:xsi="http://www.w3.org/2001/XMLSchema-instance" xsi:type="dcterms:W3CDTF">2026-10-10T09:00:50Z</dcterms:modified>
</cp:coreProperties>
</file>